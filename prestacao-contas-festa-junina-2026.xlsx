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Índice de Páginas" sheetId="2" state="visible" r:id="rId4"/>
    <sheet name="Vendas Detalhadas" sheetId="3" state="visible" r:id="rId5"/>
    <sheet name="Consumo Interno (Equipe)" sheetId="4" state="visible" r:id="rId6"/>
    <sheet name="Extrato Maquininha" sheetId="5" state="visible" r:id="rId7"/>
    <sheet name="Doações" sheetId="6" state="visible" r:id="rId8"/>
    <sheet name="Fechamento de Caixa" sheetId="7" state="visible" r:id="rId9"/>
    <sheet name="Despesas da Festa" sheetId="8" state="visible" r:id="rId10"/>
    <sheet name="Resumo Geral" sheetId="9" state="visible" r:id="rId11"/>
    <sheet name="Notas Fiscais e Registr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<sst xmlns="http://schemas.openxmlformats.org/spreadsheetml/2006/main" count="1002" uniqueCount="442">
  <si>
    <t xml:space="preserve">Planilha de Arrecadação da Festa — EM Regina Celi da Silva Cerdeira</t>
  </si>
  <si>
    <t xml:space="preserve">Esta planilha reúne a transcrição das anotações manuscritas (cadernos de vendas) referentes à arrecadação da festa, conforme as 19 páginas/fotos enviadas em 20/07/2026.</t>
  </si>
  <si>
    <t xml:space="preserve">IMPORTANTE — Sobre a transcrição:</t>
  </si>
  <si>
    <t xml:space="preserve">As anotações originais são manuscritas, em cadernos de rascunho, com muitas abreviações (pix, dinh., déb., créd.), valores emendados, rasuras e somas manuais. Foi feito o melhor esforço de leitura e organização de cada valor e forma de pagamento. Ainda assim, RECOMENDA-SE que a Direção/Coordenação confira os valores desta planilha com os cadernos originais antes de usá-la como documento oficial de prestação de contas, especialmente os itens marcados com a observação 'conferir'.</t>
  </si>
  <si>
    <t xml:space="preserve">Estrutura da planilha:</t>
  </si>
  <si>
    <t xml:space="preserve"> • Vendas Detalhadas — itens vendidos, valor e forma de pagamento, por página de origem.</t>
  </si>
  <si>
    <t xml:space="preserve"> • Consumo Interno (Equipe) — itens consumidos por professores, mediadores(as) e colaboradores.</t>
  </si>
  <si>
    <t xml:space="preserve"> • Extrato Maquininha — sequência de lançamentos de débito/crédito da maquininha de cartão.</t>
  </si>
  <si>
    <t xml:space="preserve"> • Doações — valores doados por apoiadores, somados como entrada inicial de caixa da festa.</t>
  </si>
  <si>
    <t xml:space="preserve"> • Fechamento de Caixa — resumo final: dinheiro em espécie, maquininha, Pix, doações e despesas.</t>
  </si>
  <si>
    <t xml:space="preserve"> • Despesas da Festa — despesas que antecederam e sucederam o evento.</t>
  </si>
  <si>
    <t xml:space="preserve"> • Resumo Geral — totais consolidados por forma de pagamento e resultado líquido da festa.</t>
  </si>
  <si>
    <t xml:space="preserve"> • Notas Fiscais e Registros — imagens das notas fiscais e comprovantes.</t>
  </si>
  <si>
    <t xml:space="preserve">Alterações solicitadas por Mário (Diretor) — aplicadas nesta versão:</t>
  </si>
  <si>
    <t xml:space="preserve"> 1. Incluída a despesa 'Vídeo Maker' — R$ 150,00.</t>
  </si>
  <si>
    <t xml:space="preserve"> 2. Incluída a despesa 'Tenda' (adicional) — R$ 400,00.</t>
  </si>
  <si>
    <t xml:space="preserve"> 3. O lançamento 'Estephani mercado' foi renomeado para 'Alimentos complementares'.</t>
  </si>
  <si>
    <t xml:space="preserve"> 4. Adicionado o custo líquido da compra de bebidas (Nota Fiscal Loja Primavera), já descontando a devolução de itens não utilizados.</t>
  </si>
  <si>
    <t xml:space="preserve"> 5. Criada a aba 'Notas Fiscais e Registros'.</t>
  </si>
  <si>
    <t xml:space="preserve"> 6. NOVO — Criada a aba 'Doações', com os valores de Marbela Lanches (R$ 100,00), ETP (R$ 600,00) e Colaboradores (R$ 200,00). Este valor é somado como entrada inicial de caixa da festa e passa a compor a Receita Bruta no 'Fechamento de Caixa' e no 'Resumo Geral'.</t>
  </si>
  <si>
    <t xml:space="preserve"> 7. NOVO — Retirados do custo das bebidas os valores da cerveja Heineken (R$ 268,00) e do chopp de vinho Bodegão (R$ 113,40), pagos à parte e não somados às despesas da festa. O detalhamento permanece registrado na aba 'Despesas da Festa' apenas como referência (não entra nos totais).</t>
  </si>
  <si>
    <t xml:space="preserve">Índice de Páginas (Origem das Fotos)</t>
  </si>
  <si>
    <t xml:space="preserve">Página (nesta planilha)</t>
  </si>
  <si>
    <t xml:space="preserve">Arquivo original</t>
  </si>
  <si>
    <t xml:space="preserve">Conteúdo</t>
  </si>
  <si>
    <t xml:space="preserve">IMG-20260720-WA0030.jpg</t>
  </si>
  <si>
    <t xml:space="preserve">Lista de valores recebidos por venda (sem detalhar item), com forma de pagamento; anotações de saída de caixa (Bianca).</t>
  </si>
  <si>
    <t xml:space="preserve">IMG-20260720-WA0020.jpg</t>
  </si>
  <si>
    <t xml:space="preserve">Vendas detalhadas por barraca (comidas/bebidas/brincadeiras) com totais por forma de pagamento.</t>
  </si>
  <si>
    <t xml:space="preserve">IMG-20260720-WA0023.jpg</t>
  </si>
  <si>
    <t xml:space="preserve">Vendas detalhadas por barraca (pastéis, salgados, refrigerantes, brincadeiras).</t>
  </si>
  <si>
    <t xml:space="preserve">IMG-20260720-WA0022.jpg</t>
  </si>
  <si>
    <t xml:space="preserve">Pequena tabela de vendas avulsas (cachorro-quente, salgados, refrigerante, brincadeira).</t>
  </si>
  <si>
    <t xml:space="preserve">IMG-20260720-WA0018.jpg</t>
  </si>
  <si>
    <t xml:space="preserve">Vendas detalhadas em tabela (pastéis, salgados, guaraná, refrigerantes, caldos, brincadeiras).</t>
  </si>
  <si>
    <t xml:space="preserve">IMG-20260720-WA0019.jpg</t>
  </si>
  <si>
    <t xml:space="preserve">Vendas detalhadas, parte em tinta preta e parte em vermelho (lançamentos adicionais).</t>
  </si>
  <si>
    <t xml:space="preserve">IMG-20260720-WA0015.jpg</t>
  </si>
  <si>
    <t xml:space="preserve">Vendas detalhadas com nomes de responsáveis (ex.: mãe da Ana Laura) e cortesias.</t>
  </si>
  <si>
    <t xml:space="preserve">IMG-20260720-WA0029.jpg</t>
  </si>
  <si>
    <t xml:space="preserve">Consumo interno por nome — professoras, mediadoras, monitoras e colaboradores.</t>
  </si>
  <si>
    <t xml:space="preserve">IMG-20260720-WA0016.jpg</t>
  </si>
  <si>
    <t xml:space="preserve">Lista de vendas com totais por forma de pagamento (Pix, débito, crédito).</t>
  </si>
  <si>
    <t xml:space="preserve">IMG-20260720-WA0017.jpg</t>
  </si>
  <si>
    <t xml:space="preserve">Vendas detalhadas com registros de devolução (maçã, salgado, pastel).</t>
  </si>
  <si>
    <t xml:space="preserve">IMG-20260720-WA0028.jpg</t>
  </si>
  <si>
    <t xml:space="preserve">Consumo interno por nome (Rosemary, Rose, Lu, Lili) — página parcialmente decalcada/apagada.</t>
  </si>
  <si>
    <t xml:space="preserve">IMG-20260720-WA0014.jpg</t>
  </si>
  <si>
    <t xml:space="preserve">FECHAMENTO DE CAIXA: dinheiro em espécie, maquininha (Elaine), Pix (Mario), despesas (tenda, foto, mercado).</t>
  </si>
  <si>
    <t xml:space="preserve">IMG-20260720-WA0025.jpg</t>
  </si>
  <si>
    <t xml:space="preserve">Vendas detalhadas (guaraná, cachorro-quente, caldo, pastéis) em caneta vermelha.</t>
  </si>
  <si>
    <t xml:space="preserve">IMG-20260720-WA0031.jpg</t>
  </si>
  <si>
    <t xml:space="preserve">Consumo interno por nome (Rosemary, Tassiane, Haylane, Ana Paula, Adrielle, Marcio, Luciana Telis, Kenia, Thayane, Sulamita, Felix).</t>
  </si>
  <si>
    <t xml:space="preserve">IMG-20260720-WA0027.jpg</t>
  </si>
  <si>
    <t xml:space="preserve">Extrato sequencial de lançamentos de débito e crédito da maquininha de cartão.</t>
  </si>
  <si>
    <t xml:space="preserve">IMG-20260720-WA0013.jpg</t>
  </si>
  <si>
    <t xml:space="preserve">Consumo/atendimento por nome (Hanna, Felipe, Giovanna, Haylane, Patrícia, Mateus motorista).</t>
  </si>
  <si>
    <t xml:space="preserve">IMG-20260720-WA0021.jpg</t>
  </si>
  <si>
    <t xml:space="preserve">Vendas detalhadas (parte em azul e parte em vermelho).</t>
  </si>
  <si>
    <t xml:space="preserve">IMG-20260720-WA0026.jpg</t>
  </si>
  <si>
    <t xml:space="preserve">Vendas detalhadas em caneta vermelha (caldos, pastéis, guaraná, milho, doces).</t>
  </si>
  <si>
    <t xml:space="preserve">IMG-20260720-WA0024.jpg</t>
  </si>
  <si>
    <t xml:space="preserve">Vendas detalhadas com totais por forma de pagamento, incluindo créditos e débitos.</t>
  </si>
  <si>
    <t xml:space="preserve">Vendas Detalhadas</t>
  </si>
  <si>
    <t xml:space="preserve">Nº</t>
  </si>
  <si>
    <t xml:space="preserve">Página</t>
  </si>
  <si>
    <t xml:space="preserve">Itens Vendidos</t>
  </si>
  <si>
    <t xml:space="preserve">Valor (R$)</t>
  </si>
  <si>
    <t xml:space="preserve">Forma de Pagamento</t>
  </si>
  <si>
    <t xml:space="preserve">Observação</t>
  </si>
  <si>
    <t xml:space="preserve">Venda avulsa (item não detalhado)</t>
  </si>
  <si>
    <t xml:space="preserve">Pix</t>
  </si>
  <si>
    <t xml:space="preserve">Dinheiro</t>
  </si>
  <si>
    <t xml:space="preserve">rasura sobre o valor</t>
  </si>
  <si>
    <t xml:space="preserve">Débito</t>
  </si>
  <si>
    <t xml:space="preserve">valor com rasura, conferir</t>
  </si>
  <si>
    <t xml:space="preserve">1 caldo, 2 brincadeiras</t>
  </si>
  <si>
    <t xml:space="preserve">1 guaraviva, 1 salgado</t>
  </si>
  <si>
    <t xml:space="preserve">Crédito</t>
  </si>
  <si>
    <t xml:space="preserve">1 caldo</t>
  </si>
  <si>
    <t xml:space="preserve">3 brincadeiras</t>
  </si>
  <si>
    <t xml:space="preserve">forma de pagamento pouco legível, conferir</t>
  </si>
  <si>
    <t xml:space="preserve">1 pastel, 1 cachorro-quente, 3 guaravita, 3 água, 1 salgado</t>
  </si>
  <si>
    <t xml:space="preserve">1 salgado, 2 guaraná, 2 brincadeiras</t>
  </si>
  <si>
    <t xml:space="preserve">2 brincadeiras</t>
  </si>
  <si>
    <t xml:space="preserve">2 doces</t>
  </si>
  <si>
    <t xml:space="preserve">3 caldos, 2 copos de refrigerante</t>
  </si>
  <si>
    <t xml:space="preserve">6 brincadeiras, 3 salgados, 3 guaraná</t>
  </si>
  <si>
    <t xml:space="preserve">2 refrigerantes, 1 água</t>
  </si>
  <si>
    <t xml:space="preserve">1 guaraviva, 1 salgado, 3 brincadeiras, 1 doce</t>
  </si>
  <si>
    <t xml:space="preserve">2 pastéis, 1 caldo, 1 canjica, 2 brincadeiras, 4 guaraná</t>
  </si>
  <si>
    <t xml:space="preserve">2 maçãs do amor, 1 refrigerante lata, 1 caldo</t>
  </si>
  <si>
    <t xml:space="preserve">1 brincadeira</t>
  </si>
  <si>
    <t xml:space="preserve">3 caldos, 1 salgado, 1 milho, 2 guaraná</t>
  </si>
  <si>
    <t xml:space="preserve">2 salgados, 2 guaraná, 2 águas com gás</t>
  </si>
  <si>
    <t xml:space="preserve">1 maçã do amor, 1 canjica, 1 pastel, 1 brincadeira</t>
  </si>
  <si>
    <t xml:space="preserve">1 maçã do amor, 1 pastel</t>
  </si>
  <si>
    <t xml:space="preserve">1 pastel</t>
  </si>
  <si>
    <t xml:space="preserve">Cartão</t>
  </si>
  <si>
    <t xml:space="preserve">1 salgado</t>
  </si>
  <si>
    <t xml:space="preserve">1 salgado, 1 caldo</t>
  </si>
  <si>
    <t xml:space="preserve">forma de pagamento também indica Pix ao lado, conferir</t>
  </si>
  <si>
    <t xml:space="preserve">4 pastéis, 2 copos</t>
  </si>
  <si>
    <t xml:space="preserve">subtotal com rasura, conferir</t>
  </si>
  <si>
    <t xml:space="preserve">4 brincadeiras</t>
  </si>
  <si>
    <t xml:space="preserve">2 pastéis</t>
  </si>
  <si>
    <t xml:space="preserve">4 salgados, 2 refrigerantes, 4 brincadeiras</t>
  </si>
  <si>
    <t xml:space="preserve">3 copos de refrigerante</t>
  </si>
  <si>
    <t xml:space="preserve">2 cachorro-quente, 2 guaraná, 1 doce</t>
  </si>
  <si>
    <t xml:space="preserve">1 água</t>
  </si>
  <si>
    <t xml:space="preserve">1 refrigerante lata</t>
  </si>
  <si>
    <t xml:space="preserve">2 coca-cola, 2 pastéis, 2 brincadeiras</t>
  </si>
  <si>
    <t xml:space="preserve">1 pastel, 1 guaravita, 1 bolo, 1 pastel</t>
  </si>
  <si>
    <t xml:space="preserve">1 copo de refrigerante</t>
  </si>
  <si>
    <t xml:space="preserve">1 brincadeira, 2 guaraná</t>
  </si>
  <si>
    <t xml:space="preserve">6 salgados</t>
  </si>
  <si>
    <t xml:space="preserve">1 pastel, 4 guaraná, 5 salgados, 3 brincadeiras</t>
  </si>
  <si>
    <t xml:space="preserve">'Resta 47,00' anotado no caderno</t>
  </si>
  <si>
    <t xml:space="preserve">1 pastel, 2 refrigerantes</t>
  </si>
  <si>
    <t xml:space="preserve">valor não legível</t>
  </si>
  <si>
    <t xml:space="preserve">2 canjicas</t>
  </si>
  <si>
    <t xml:space="preserve">1 cachorro-quente</t>
  </si>
  <si>
    <t xml:space="preserve">—</t>
  </si>
  <si>
    <t xml:space="preserve">forma de pagamento não indicada</t>
  </si>
  <si>
    <t xml:space="preserve">2 salgados</t>
  </si>
  <si>
    <t xml:space="preserve">1 refrigerante</t>
  </si>
  <si>
    <t xml:space="preserve">2 copos</t>
  </si>
  <si>
    <t xml:space="preserve">1 refrigerante, 1 pastel</t>
  </si>
  <si>
    <t xml:space="preserve">2 pastéis, 1 salgado, 2 guaraná</t>
  </si>
  <si>
    <t xml:space="preserve">1 caldo, 3 salgados, 1 refrigerante</t>
  </si>
  <si>
    <t xml:space="preserve">1 cachorro-quente, 1 pastel, 2 guaraná</t>
  </si>
  <si>
    <t xml:space="preserve">1 canjica, 1 caldo</t>
  </si>
  <si>
    <t xml:space="preserve">valor/forma incerta, conferir</t>
  </si>
  <si>
    <t xml:space="preserve">2 copos de refrigerante</t>
  </si>
  <si>
    <t xml:space="preserve">2 bolos</t>
  </si>
  <si>
    <t xml:space="preserve">'Elaine' anotado ao lado</t>
  </si>
  <si>
    <t xml:space="preserve">2 cocas</t>
  </si>
  <si>
    <t xml:space="preserve">2 cachorro-quente</t>
  </si>
  <si>
    <t xml:space="preserve">5 caldos</t>
  </si>
  <si>
    <t xml:space="preserve">2 quiabos/cachorros</t>
  </si>
  <si>
    <t xml:space="preserve">conferir item</t>
  </si>
  <si>
    <t xml:space="preserve">1 cachorro-quente, 1 pastel, 1 refrigerante</t>
  </si>
  <si>
    <t xml:space="preserve">1 pastel, 1 refrigerante</t>
  </si>
  <si>
    <t xml:space="preserve">1 H2O</t>
  </si>
  <si>
    <t xml:space="preserve">conferir</t>
  </si>
  <si>
    <t xml:space="preserve">4 refrigerantes</t>
  </si>
  <si>
    <t xml:space="preserve">36,00 dinheiro anotado ao lado</t>
  </si>
  <si>
    <t xml:space="preserve">2 guaraná, 1 canjica, 1 caldo</t>
  </si>
  <si>
    <t xml:space="preserve">9,00 / 9,00 / 7,50</t>
  </si>
  <si>
    <t xml:space="preserve">três lançamentos consecutivos em dinheiro</t>
  </si>
  <si>
    <t xml:space="preserve">4 salgados, 1 caldo, 4 copos</t>
  </si>
  <si>
    <t xml:space="preserve">Devolução de caldo</t>
  </si>
  <si>
    <t xml:space="preserve">registrado como devolução</t>
  </si>
  <si>
    <t xml:space="preserve">1 canjica</t>
  </si>
  <si>
    <t xml:space="preserve">1 água com gás</t>
  </si>
  <si>
    <t xml:space="preserve">1 litro sem gás</t>
  </si>
  <si>
    <t xml:space="preserve">1 pastel, 1 guaraná, 1 água</t>
  </si>
  <si>
    <t xml:space="preserve">3 salgados, 1 guaraná, 5 brincadeiras</t>
  </si>
  <si>
    <t xml:space="preserve">subtotal 40,00 riscado e corrigido para 39,00</t>
  </si>
  <si>
    <t xml:space="preserve">3 guaravita</t>
  </si>
  <si>
    <t xml:space="preserve">1 guaravita</t>
  </si>
  <si>
    <t xml:space="preserve">1 guaraná, 1 salgado</t>
  </si>
  <si>
    <t xml:space="preserve">2 refrigerantes, 1 água, 3 brincadeiras</t>
  </si>
  <si>
    <t xml:space="preserve">conferir forma de pagamento</t>
  </si>
  <si>
    <t xml:space="preserve">2 pastéis, 2 salgados, 2 brincadeiras, 2 cachorro-quente, 1 coca, 1 guaraná</t>
  </si>
  <si>
    <t xml:space="preserve">mãe da Ana Laura — cortesia/crédito 9,00+5,00 anotado</t>
  </si>
  <si>
    <t xml:space="preserve">1 caldo, 1 água com gás, 1 empadão</t>
  </si>
  <si>
    <t xml:space="preserve">valor não somado no caderno</t>
  </si>
  <si>
    <t xml:space="preserve">1 pastel, 1 coca</t>
  </si>
  <si>
    <t xml:space="preserve">1 brincadeira, 2 pastéis</t>
  </si>
  <si>
    <t xml:space="preserve">1 doce, 1 refrigerante em copo, 2 brincadeiras</t>
  </si>
  <si>
    <t xml:space="preserve">3 guaravita, 2 salgados</t>
  </si>
  <si>
    <t xml:space="preserve">3 pastéis, 2 guaravita</t>
  </si>
  <si>
    <t xml:space="preserve">5 brincadeiras</t>
  </si>
  <si>
    <t xml:space="preserve">valor pode ser 7,00, conferir</t>
  </si>
  <si>
    <t xml:space="preserve">1 refrigerante lata, 1 pastel</t>
  </si>
  <si>
    <t xml:space="preserve">2 brincadeiras, 1 coca</t>
  </si>
  <si>
    <t xml:space="preserve">3 salgados</t>
  </si>
  <si>
    <t xml:space="preserve">1 empadão</t>
  </si>
  <si>
    <t xml:space="preserve">2 pastéis, 3 guaravita</t>
  </si>
  <si>
    <t xml:space="preserve">1 brincadeira, 2 doces</t>
  </si>
  <si>
    <t xml:space="preserve">Peleito(?) conferir termo de pagamento</t>
  </si>
  <si>
    <t xml:space="preserve">3 guaravita, 1 caldo</t>
  </si>
  <si>
    <t xml:space="preserve">+1 coca anotado</t>
  </si>
  <si>
    <t xml:space="preserve">2 brincadeiras, 1 doce</t>
  </si>
  <si>
    <t xml:space="preserve">1 H2O, 1 coca</t>
  </si>
  <si>
    <t xml:space="preserve">Libra anotado, conferir</t>
  </si>
  <si>
    <t xml:space="preserve">2 guaravita, 1 calda, 1 refrigerante, 2 salgados</t>
  </si>
  <si>
    <t xml:space="preserve">1 salgado, 3 pastéis, 1 cachorro-quente, 4 guaraná, 2 brincadeiras</t>
  </si>
  <si>
    <t xml:space="preserve">3 pastéis, 3 guaravita</t>
  </si>
  <si>
    <t xml:space="preserve">3 pastéis, 2 guaravita, 1 cachorro-quente</t>
  </si>
  <si>
    <t xml:space="preserve">2 guaravita, 1 cachorro-quente</t>
  </si>
  <si>
    <t xml:space="preserve">2 águas</t>
  </si>
  <si>
    <t xml:space="preserve">1 salgado, 1 refrigerante, 1 guaravita, 1 caldo</t>
  </si>
  <si>
    <t xml:space="preserve">3 guaravita, 2 brincadeiras</t>
  </si>
  <si>
    <t xml:space="preserve">2 pastéis, 2 cachorro-quente, 1 água, 2 guaravita</t>
  </si>
  <si>
    <t xml:space="preserve">1 pastel, 1 canjica</t>
  </si>
  <si>
    <t xml:space="preserve">1 pastel, 1 caldo, 2 brincadeiras, 1 capa de refrigerante</t>
  </si>
  <si>
    <t xml:space="preserve">1 pastel, 1 guaraná</t>
  </si>
  <si>
    <t xml:space="preserve">3 guaraná, 1 cachorro-quente, 2 pastéis</t>
  </si>
  <si>
    <t xml:space="preserve">forma não indicada</t>
  </si>
  <si>
    <t xml:space="preserve">2 caldos</t>
  </si>
  <si>
    <t xml:space="preserve">5 cachorro-quente, 1 pastel</t>
  </si>
  <si>
    <t xml:space="preserve">Devolução: maçã 5,00 + 2,00</t>
  </si>
  <si>
    <t xml:space="preserve">devolução de cachorro-quente</t>
  </si>
  <si>
    <t xml:space="preserve">Devolução: salgado 5,00 e pastel 21,00</t>
  </si>
  <si>
    <t xml:space="preserve">devolução</t>
  </si>
  <si>
    <t xml:space="preserve">2 guaravita, 1 pastel, 1 salgado, 2 brincadeiras</t>
  </si>
  <si>
    <t xml:space="preserve">1 brincadeira, 1 salgado, 1 refrigerante</t>
  </si>
  <si>
    <t xml:space="preserve">5 salgados, 1 cachorro-quente</t>
  </si>
  <si>
    <t xml:space="preserve">4 guaravita</t>
  </si>
  <si>
    <t xml:space="preserve">3 guaravita, 1 salgado</t>
  </si>
  <si>
    <t xml:space="preserve">2 guaraná</t>
  </si>
  <si>
    <t xml:space="preserve">3 guaraná, 3 pastéis</t>
  </si>
  <si>
    <t xml:space="preserve">2 doces, 2 guaraná</t>
  </si>
  <si>
    <t xml:space="preserve">2 maçãs do amor</t>
  </si>
  <si>
    <t xml:space="preserve">3 guaraná</t>
  </si>
  <si>
    <t xml:space="preserve">2 refrigerantes</t>
  </si>
  <si>
    <t xml:space="preserve">2 pastéis, 2 cachorro-quente</t>
  </si>
  <si>
    <t xml:space="preserve">1 kg/litro 4,00, conferir</t>
  </si>
  <si>
    <t xml:space="preserve">1 refrigerante, 1 H2O, 2 brincadeiras</t>
  </si>
  <si>
    <t xml:space="preserve">1 cachorro-quente, 1 canjica, 1 salgado, 2 brincadeiras, 2 copos</t>
  </si>
  <si>
    <t xml:space="preserve">2 pastéis, 2 copos</t>
  </si>
  <si>
    <t xml:space="preserve">2 salgados, 1 pastel, 3 guaraná, 1 brincadeira</t>
  </si>
  <si>
    <t xml:space="preserve">2 pastéis, 1 canjica, 2 brincadeiras</t>
  </si>
  <si>
    <t xml:space="preserve">2 refrigerantes (latas)</t>
  </si>
  <si>
    <t xml:space="preserve">1 salgado, 1 guaraná</t>
  </si>
  <si>
    <t xml:space="preserve">1 cachorro-quente, 1 copo</t>
  </si>
  <si>
    <t xml:space="preserve">1 salgado, 1 pastel, 2 guaraná</t>
  </si>
  <si>
    <t xml:space="preserve">6 pastéis, 2 cachorro-quente, 2 guaravita</t>
  </si>
  <si>
    <t xml:space="preserve">1 salgado, 2 guaraná, 1 doce, 4 brincadeiras</t>
  </si>
  <si>
    <t xml:space="preserve">1 bolo</t>
  </si>
  <si>
    <t xml:space="preserve">1 caldo, 1 maçã do amor</t>
  </si>
  <si>
    <t xml:space="preserve">1 pastel, 3 guaraná</t>
  </si>
  <si>
    <t xml:space="preserve">3 caldos</t>
  </si>
  <si>
    <t xml:space="preserve">1 milho</t>
  </si>
  <si>
    <t xml:space="preserve">1 copo, 1 milho</t>
  </si>
  <si>
    <t xml:space="preserve">1 pastel, 1 copo</t>
  </si>
  <si>
    <t xml:space="preserve">1 mingau/muco</t>
  </si>
  <si>
    <t xml:space="preserve">1 maçã do amor</t>
  </si>
  <si>
    <t xml:space="preserve">2 doces/devolução</t>
  </si>
  <si>
    <t xml:space="preserve">1 copo</t>
  </si>
  <si>
    <t xml:space="preserve">3 águas</t>
  </si>
  <si>
    <t xml:space="preserve">1 pastel, 1 caldo com carne</t>
  </si>
  <si>
    <t xml:space="preserve">2 pastéis, 2 caixas</t>
  </si>
  <si>
    <t xml:space="preserve">3 pastéis</t>
  </si>
  <si>
    <t xml:space="preserve">1 mala/sacola</t>
  </si>
  <si>
    <t xml:space="preserve">1 guaraná</t>
  </si>
  <si>
    <t xml:space="preserve">conferir valor</t>
  </si>
  <si>
    <t xml:space="preserve">1 refrigerante, 1 salgado</t>
  </si>
  <si>
    <t xml:space="preserve">1 refrigerante, 1 água</t>
  </si>
  <si>
    <t xml:space="preserve">2 guaravita</t>
  </si>
  <si>
    <t xml:space="preserve">4 guaraná</t>
  </si>
  <si>
    <t xml:space="preserve">valor com rasura</t>
  </si>
  <si>
    <t xml:space="preserve">2 guaravita, 4 brincadeiras</t>
  </si>
  <si>
    <t xml:space="preserve">1 milho, 1 água, 1 doce</t>
  </si>
  <si>
    <t xml:space="preserve">1 milho, 1 guaraná, 1 pastel</t>
  </si>
  <si>
    <t xml:space="preserve">TOTAL</t>
  </si>
  <si>
    <t xml:space="preserve">Consumo Interno (Equipe)</t>
  </si>
  <si>
    <t xml:space="preserve">Nome / Função</t>
  </si>
  <si>
    <t xml:space="preserve">Itens Consumidos</t>
  </si>
  <si>
    <t xml:space="preserve">Rosemary (Prof.)</t>
  </si>
  <si>
    <t xml:space="preserve">2 água com gás R$ 8,00, 2 vale bebida (não foi especificado), 2 cachorro-quente R$ 14,00, 2 pastéis R$ 14,00, 1 caldo verde R$ 5,00, 2 refrigerante R$ 14,00 e 1 água R$ 3,00</t>
  </si>
  <si>
    <t xml:space="preserve">Falta somar o valor da bebida não identificada</t>
  </si>
  <si>
    <t xml:space="preserve">Tassiane (Mediadora)</t>
  </si>
  <si>
    <t xml:space="preserve">3 pastéis R$ 21,00, 1 cachorro-quente R$ 7,00, 2 H2O R$ 16,00, 5 brincadeiras R$ 20,00</t>
  </si>
  <si>
    <t xml:space="preserve">Não totalizado no caderno</t>
  </si>
  <si>
    <t xml:space="preserve">Haylane (Prof.)</t>
  </si>
  <si>
    <t xml:space="preserve">2 guaravita R$ 8,00, 5 esfiha R$ 20,00, 1 canjica R$ 5,00, 3 coxinha R$ 15,00, 1 caldo R$ 5,00, 2 bolo R$ 4,00</t>
  </si>
  <si>
    <t xml:space="preserve">— (irmã da Elaine)</t>
  </si>
  <si>
    <t xml:space="preserve">Valor único anotado, referência à Elaine</t>
  </si>
  <si>
    <t xml:space="preserve">Anotado como valor único</t>
  </si>
  <si>
    <t xml:space="preserve">Elaine O.P.</t>
  </si>
  <si>
    <t xml:space="preserve">1 brincadeira R$ 4,00 + 1 água R$ 3,00 + 2 pastéis R$ 14,00 + 1 coca R$ 7,00</t>
  </si>
  <si>
    <t xml:space="preserve">'1 coca 7,00' anotado próximo</t>
  </si>
  <si>
    <t xml:space="preserve">Luciana Teles</t>
  </si>
  <si>
    <t xml:space="preserve">1 água com gás R$ 4,00 + 1 coca R$ 7,00 + 1 coxinha R$ 5,00</t>
  </si>
  <si>
    <t xml:space="preserve">Kesia</t>
  </si>
  <si>
    <t xml:space="preserve">1 caldo R$ 5,00</t>
  </si>
  <si>
    <t xml:space="preserve">Reny</t>
  </si>
  <si>
    <t xml:space="preserve">Tayane</t>
  </si>
  <si>
    <t xml:space="preserve">1 água R$ 3,00 + 1 coca lata R$ 7,00</t>
  </si>
  <si>
    <t xml:space="preserve">valor da coca não totalizado</t>
  </si>
  <si>
    <t xml:space="preserve">Sulamita</t>
  </si>
  <si>
    <t xml:space="preserve">1 brincadeira R$ 4,00</t>
  </si>
  <si>
    <t xml:space="preserve">anotação pouco legível</t>
  </si>
  <si>
    <t xml:space="preserve">Ana Paula</t>
  </si>
  <si>
    <t xml:space="preserve">3 cachorro-quente R$ 21,00 + 2 pastéis R$ 14,00 + 2 refrigerante R$ 14,00</t>
  </si>
  <si>
    <t xml:space="preserve">'-29,00 / 2,00' anotado ao lado</t>
  </si>
  <si>
    <t xml:space="preserve">Adrielle (Monitora)</t>
  </si>
  <si>
    <t xml:space="preserve">1 pastel R$ 7,00 + 3 brincadeiras R$ 12,00</t>
  </si>
  <si>
    <t xml:space="preserve">Anotado 'P/C' (por conta)</t>
  </si>
  <si>
    <t xml:space="preserve">Marcio</t>
  </si>
  <si>
    <t xml:space="preserve">2 caldo 4,00 + 2 quites/refresco + 2 guaravita + 1 empadão + 3 cachorro-quente</t>
  </si>
  <si>
    <t xml:space="preserve">não contar</t>
  </si>
  <si>
    <t xml:space="preserve">Felipe</t>
  </si>
  <si>
    <t xml:space="preserve">1 cachorro-quente R$ 7,00 e 1 esfiha R$ 4,00</t>
  </si>
  <si>
    <t xml:space="preserve">Jeovanna</t>
  </si>
  <si>
    <t xml:space="preserve">1 coxinha R$ 5,00 e 1 empadão R$ 4,00</t>
  </si>
  <si>
    <t xml:space="preserve">Rose (Insp.)</t>
  </si>
  <si>
    <t xml:space="preserve">1 coca R$ 7,00, 1 guaravita R$ 4,00</t>
  </si>
  <si>
    <t xml:space="preserve">Lu (Prof.)</t>
  </si>
  <si>
    <t xml:space="preserve">1 guaravita R$ 4,00, 1 coca R$ 7,00</t>
  </si>
  <si>
    <t xml:space="preserve">nomes repetidos ou fora da folha; valor não totalizado</t>
  </si>
  <si>
    <t xml:space="preserve">Lili</t>
  </si>
  <si>
    <t xml:space="preserve">1 salgado R$ 5,00</t>
  </si>
  <si>
    <t xml:space="preserve">valor não totalizado</t>
  </si>
  <si>
    <t xml:space="preserve">2 vale bebida, 1 cachorro-quente, 1 pastel, 1 caldo verde, 1 água com gás</t>
  </si>
  <si>
    <t xml:space="preserve">repetição/confirmação da pág. 8</t>
  </si>
  <si>
    <t xml:space="preserve">Elaine D.P.</t>
  </si>
  <si>
    <t xml:space="preserve">3 coca R$ 7,00</t>
  </si>
  <si>
    <t xml:space="preserve">associado a Elaine</t>
  </si>
  <si>
    <t xml:space="preserve">Kenia</t>
  </si>
  <si>
    <t xml:space="preserve">3 cachorro-quente R$ 14,00 + 2 pastel R$ 14,00 + 2 caixa de refri R$ 14,00</t>
  </si>
  <si>
    <t xml:space="preserve">'-29,80 / 2,00' anotado</t>
  </si>
  <si>
    <t xml:space="preserve">1 pastel + 3 brincadeiras</t>
  </si>
  <si>
    <t xml:space="preserve">valor anotado como '06', pouco legível — conferir com pág. 8 (R$ 19,00)</t>
  </si>
  <si>
    <t xml:space="preserve">2 caldo/carne 4,00 + 2 guaravita + 2 pêssego/refri capa + 1 empadão + 3 cachorro-quente</t>
  </si>
  <si>
    <t xml:space="preserve">Thayane</t>
  </si>
  <si>
    <t xml:space="preserve">1 água 3,00 + 3 coca lata</t>
  </si>
  <si>
    <t xml:space="preserve">4 real pescaria</t>
  </si>
  <si>
    <t xml:space="preserve">Felix</t>
  </si>
  <si>
    <t xml:space="preserve">1 cachorro-quente — junta R$ 7,00</t>
  </si>
  <si>
    <t xml:space="preserve">Hanna</t>
  </si>
  <si>
    <t xml:space="preserve">1 esfiha, 1 pastel, 4 coxinhas, 1 canjica</t>
  </si>
  <si>
    <t xml:space="preserve">não totalizado</t>
  </si>
  <si>
    <t xml:space="preserve">Felipe (Mediador)</t>
  </si>
  <si>
    <t xml:space="preserve">1 esfiha</t>
  </si>
  <si>
    <t xml:space="preserve">Giovanna</t>
  </si>
  <si>
    <t xml:space="preserve">1 esfiha + salgado</t>
  </si>
  <si>
    <t xml:space="preserve">Haylane</t>
  </si>
  <si>
    <t xml:space="preserve">5 esfiha + 1 canjica + 3 coxinhas</t>
  </si>
  <si>
    <t xml:space="preserve">Patrícia</t>
  </si>
  <si>
    <t xml:space="preserve">1 coxinha</t>
  </si>
  <si>
    <t xml:space="preserve">risco no nome — item cancelado?</t>
  </si>
  <si>
    <t xml:space="preserve">Mateus (motorista)</t>
  </si>
  <si>
    <t xml:space="preserve">Extrato Sequencial da Maquininha de Cartão (Imagem 15 — 'Máquina Elaine')</t>
  </si>
  <si>
    <t xml:space="preserve">Tipo</t>
  </si>
  <si>
    <t xml:space="preserve">Subtotal Débito</t>
  </si>
  <si>
    <t xml:space="preserve">Subtotal Crédito</t>
  </si>
  <si>
    <t xml:space="preserve">Observação: no topo da página consta a anotação '(17,57)' cuja relação com os lançamentos não está clara — conferir com o extrato oficial da maquininha (Elaine). O fechamento de caixa registra o total da maquininha como R$ 1.409,35 (valor oficial, pode divergir da soma manual dos lançamentos).</t>
  </si>
  <si>
    <t xml:space="preserve">Doações — Entrada Inicial de Caixa da Festa</t>
  </si>
  <si>
    <t xml:space="preserve">Doador</t>
  </si>
  <si>
    <t xml:space="preserve">Marbela Lanches</t>
  </si>
  <si>
    <t xml:space="preserve">Doação informada por Mario (Diretor).</t>
  </si>
  <si>
    <t xml:space="preserve">ETP</t>
  </si>
  <si>
    <t xml:space="preserve">Colaboradores</t>
  </si>
  <si>
    <t xml:space="preserve">TOTAL DOAÇÕES</t>
  </si>
  <si>
    <t xml:space="preserve">Nota: este valor é considerado uma entrada inicial de caixa para o início da festa (arrecadação prévia via doações de apoiadores). Por isso, ele é somado à Receita Bruta na aba 'Fechamento de Caixa' e no 'Resumo Geral' — não é uma venda realizada durante o evento, mas compõe o resultado líquido final.</t>
  </si>
  <si>
    <t xml:space="preserve">Fechamento de Caixa (transcrição da Imagem 12, com doações e despesas atualizadas)</t>
  </si>
  <si>
    <t xml:space="preserve">Descrição</t>
  </si>
  <si>
    <t xml:space="preserve">Dinheiro em espécie</t>
  </si>
  <si>
    <t xml:space="preserve">Anotado 'Dinheiro: 2.086 em espécie' (dígito parcialmente rasurado no original — confirmar).</t>
  </si>
  <si>
    <t xml:space="preserve">Maquininha (Elaine)</t>
  </si>
  <si>
    <t xml:space="preserve">Anotado '1.409,35 máquina Elaine'.</t>
  </si>
  <si>
    <t xml:space="preserve">Pix da festa</t>
  </si>
  <si>
    <t xml:space="preserve">Anotado '2.871,73 Pix da festa'.</t>
  </si>
  <si>
    <t xml:space="preserve">Doações (entrada inicial da festa)</t>
  </si>
  <si>
    <t xml:space="preserve">NOVO — ver aba 'Doações'. Considerado entrada de caixa no início da festa.</t>
  </si>
  <si>
    <t xml:space="preserve">RECEITA BRUTA (Dinheiro + Maquininha + Pix + Doações)</t>
  </si>
  <si>
    <t xml:space="preserve">Receita bruta consolidada, já incluindo as doações como entrada inicial.</t>
  </si>
  <si>
    <t xml:space="preserve">Despesas descontadas no fechamento original:</t>
  </si>
  <si>
    <t xml:space="preserve">Tenda</t>
  </si>
  <si>
    <t xml:space="preserve">Despesa descontada no fechamento original: 'Tenda: -200'.</t>
  </si>
  <si>
    <t xml:space="preserve">Foto</t>
  </si>
  <si>
    <t xml:space="preserve">Despesa descontada no fechamento original: 'Foto: -150'.</t>
  </si>
  <si>
    <t xml:space="preserve">Alimentos complementares</t>
  </si>
  <si>
    <t xml:space="preserve">Ver aba 'Despesas da Festa'.</t>
  </si>
  <si>
    <t xml:space="preserve">RESULTADO LÍQUIDO (conforme fechamento original, já com doações)</t>
  </si>
  <si>
    <t xml:space="preserve">Receita bruta (com doações) menos as despesas originais do fechamento de caixa.</t>
  </si>
  <si>
    <t xml:space="preserve">Despesas adicionais informadas por Mario (não constavam no fechamento original):</t>
  </si>
  <si>
    <t xml:space="preserve">Vídeo Maker</t>
  </si>
  <si>
    <t xml:space="preserve">Tenda (adicional)</t>
  </si>
  <si>
    <t xml:space="preserve">Bebidas — custo líquido (sem Heineken e sem Chopp de Vinho, pagos à parte)</t>
  </si>
  <si>
    <t xml:space="preserve">NOVO — já com Heineken (R$268,00) e Chopp de Vinho Bodegão (R$113,40) retirados, por terem sido pagos à parte. Ver aba 'Despesas da Festa'.</t>
  </si>
  <si>
    <t xml:space="preserve">RESULTADO LÍQUIDO FINAL (com doações e despesas atualizadas)</t>
  </si>
  <si>
    <t xml:space="preserve">Resultado final considerando doações como entrada inicial e as despesas de bebidas já sem Heineken/Chopp de Vinho.</t>
  </si>
  <si>
    <t xml:space="preserve">Despesas Relacionadas à Festa (antes/depois do evento + fechamento de caixa)</t>
  </si>
  <si>
    <t xml:space="preserve">Item</t>
  </si>
  <si>
    <t xml:space="preserve">Incluir no Total?</t>
  </si>
  <si>
    <t xml:space="preserve">Tenda (registrada no fechamento de caixa original)</t>
  </si>
  <si>
    <t xml:space="preserve">Sim</t>
  </si>
  <si>
    <t xml:space="preserve">Valor original anotado no caderno (Imagem 12): 'Tenda: -200'.</t>
  </si>
  <si>
    <t xml:space="preserve">Anotado no caderno (Imagem 12): 'Foto: -150'.</t>
  </si>
  <si>
    <t xml:space="preserve">Alterado a pedido de Mario: originalmente anotado como 'Estephani mercado - R$315,49'; renomeado para 'Alimentos complementares'.</t>
  </si>
  <si>
    <t xml:space="preserve">Despesa que antecedeu a festa — incluída a pedido de Mario (não constava nos cadernos originais).</t>
  </si>
  <si>
    <t xml:space="preserve">Despesa que antecedeu a festa — incluída a pedido de Mario (adicional à Tenda de R$200,00 já registrada no item 1; confirmar com Mario se são duas locações distintas ou se o valor de R$200 deveria ser substituído por este).</t>
  </si>
  <si>
    <t xml:space="preserve">Nota Fiscal Bebidas — Loja Primavera (compra total, Venda nº 190686, 16/07/2026)</t>
  </si>
  <si>
    <t xml:space="preserve">Não</t>
  </si>
  <si>
    <t xml:space="preserve">Valor bruto da nota (Nota nº 01.852.665/0001-96). Não somado diretamente ao total — ver custo líquido no item 10, abaixo.</t>
  </si>
  <si>
    <t xml:space="preserve">(-) Devolução de itens não utilizados (Nota Fiscal Bebidas)</t>
  </si>
  <si>
    <t xml:space="preserve">Devolvidos ao fornecedor: 4 packs Coca-Cola lata c/12 (R$164,00) + 3 packs Fanta Laranja c/12 (R$120,00) + 3 packs Fanta Uva c/12 (R$120,00) + 2 packs Guaraná Antarctica c/12 (R$80,00) + 3 caixas Guaravita c/24 (R$69,00) = R$553,00. Ver imagem da nota na aba 'Notas Fiscais e Registros'.</t>
  </si>
  <si>
    <t xml:space="preserve">(-) Cerveja Heineken (paga à parte)</t>
  </si>
  <si>
    <t xml:space="preserve">Retirada do custo da festa a pedido de Mario — foi paga separadamente e NÃO deve ser somada ao total de despesas da festa.</t>
  </si>
  <si>
    <t xml:space="preserve">(-) Chopp de Vinho Bodegão (pago à parte)</t>
  </si>
  <si>
    <t xml:space="preserve">Retirado do custo da festa a pedido de Mario — foi pago separadamente e NÃO deve ser somado ao total de despesas da festa.</t>
  </si>
  <si>
    <t xml:space="preserve">Bebidas — custo líquido considerado no total da festa</t>
  </si>
  <si>
    <t xml:space="preserve">Cálculo: Compra (R$2.062,40) − Devolução (R$553,00) − Heineken (R$268,00) − Chopp de Vinho (R$113,40).</t>
  </si>
  <si>
    <t xml:space="preserve">TOTAL DESPESAS (itens marcados 'Sim')</t>
  </si>
  <si>
    <t xml:space="preserve">Nota: a Nota Fiscal de Bebidas (item 6), a devolução (item 7), a Heineken (item 8) e o Chopp de Vinho Bodegão (item 9) NÃO entram na soma do total — são apenas memória de cálculo. Apenas o item 10 (custo líquido das bebidas, já sem Heineken e sem Chopp de Vinho) é somado ao total de despesas da festa, pois esses dois itens foram pagos à parte, conforme solicitado por Mario.</t>
  </si>
  <si>
    <t xml:space="preserve">Resumo Geral da Arrecadação da Festa</t>
  </si>
  <si>
    <t xml:space="preserve">1. Vendas por forma de pagamento (aba 'Vendas Detalhadas')</t>
  </si>
  <si>
    <t xml:space="preserve">Total (R$)</t>
  </si>
  <si>
    <t xml:space="preserve">— (forma não indicada)</t>
  </si>
  <si>
    <t xml:space="preserve">Subtotal Vendas Detalhadas</t>
  </si>
  <si>
    <t xml:space="preserve">2. Totais consolidados por origem</t>
  </si>
  <si>
    <t xml:space="preserve">Origem / Fonte</t>
  </si>
  <si>
    <t xml:space="preserve">Total 'Vendas Detalhadas' (soma de todas as linhas)</t>
  </si>
  <si>
    <t xml:space="preserve">Soma de todas as vendas transcritas, todas as formas de pagamento.</t>
  </si>
  <si>
    <t xml:space="preserve">Total Extrato Maquininha (débito+crédito)</t>
  </si>
  <si>
    <t xml:space="preserve">Soma dos 66 lançamentos de débito/crédito transcritos da maquininha.</t>
  </si>
  <si>
    <t xml:space="preserve">Dinheiro em espécie (Fechamento de Caixa)</t>
  </si>
  <si>
    <t xml:space="preserve">Maquininha — valor final (Fechamento de Caixa)</t>
  </si>
  <si>
    <t xml:space="preserve">Valor oficial de fechamento; pode divergir do somatório manual do extrato de lançamentos.</t>
  </si>
  <si>
    <t xml:space="preserve">Pix (Fechamento de Caixa)</t>
  </si>
  <si>
    <t xml:space="preserve">NOVO — ver aba 'Doações'. Somado à Receita Bruta abaixo, não é uma venda.</t>
  </si>
  <si>
    <t xml:space="preserve">3. Despesas e Resultado Final</t>
  </si>
  <si>
    <t xml:space="preserve">Receita bruta (Dinheiro + Maquininha + Pix + Doações — Fechamento de Caixa)</t>
  </si>
  <si>
    <t xml:space="preserve">Já inclui as doações como entrada inicial de caixa.</t>
  </si>
  <si>
    <t xml:space="preserve">Total de Despesas (aba 'Despesas da Festa' — Tenda, Foto, Alimentos complementares, Vídeo Maker, Tenda adicional e Bebidas — já sem Heineken/Chopp de Vinho)</t>
  </si>
  <si>
    <t xml:space="preserve">Heineken (R$268,00) e Chopp de Vinho Bodegão (R$113,40) foram retirados por terem sido pagos à parte.</t>
  </si>
  <si>
    <t xml:space="preserve">RESULTADO LÍQUIDO FINAL DA FESTA</t>
  </si>
  <si>
    <t xml:space="preserve">Receita bruta (com doações) menos o total de despesas atualizado.</t>
  </si>
  <si>
    <t xml:space="preserve">Nota: os valores desta aba são calculados por fórmula a partir das demais abas. Como as anotações originais possuem múltiplos métodos de registro (vendas linha a linha, consumo interno da equipe, extrato da maquininha e um fechamento de caixa resumido), os totais podem apresentar pequenas divergências entre si. Recomenda-se validar o resultado final com a Direção antes de publicar como prestação de contas oficial.</t>
  </si>
  <si>
    <t xml:space="preserve">Notas Fiscais e Registros da Festa</t>
  </si>
  <si>
    <t xml:space="preserve">Esta aba reúne as imagens das notas fiscais e outros comprovantes/registros relacionados à festa, organizados em 'cartões'.</t>
  </si>
  <si>
    <t xml:space="preserve">COMO ADICIONAR UMA NOVA NOTA (no Excel): 1) Copie um dos cartões em branco abaixo (título + moldura). 2) Preencha Data, Fornecedor, Valor e Referente a. 3) Vá em Inserir &gt; Imagens e selecione a foto da nota. 4) Arraste e redimensione a imagem para que fique dentro da moldura com borda azul.</t>
  </si>
  <si>
    <t xml:space="preserve">Dica: para manter a planilha leve, use fotos com boa legibilidade mas tamanho de arquivo moderado (evite fotos acima de 5-8 MB). Se preferir, envie a foto para o Claude e peça para inseri-la diretamente nesta aba.</t>
  </si>
  <si>
    <t xml:space="preserve">Nota/Registro Nº 1 — Nota Fiscal Bebidas — Loja Primavera</t>
  </si>
  <si>
    <t xml:space="preserve">Data: 16/07/2026</t>
  </si>
  <si>
    <t xml:space="preserve">Fornecedor: Loja Primavera (CNPJ 01.852.665/0001-96)</t>
  </si>
  <si>
    <t xml:space="preserve">Valor: R$ 2.062,40 (compra) / R$ 1.128,00 (custo líquido considerado no total da festa)</t>
  </si>
  <si>
    <t xml:space="preserve">Referente a: Compra de bebidas para a festa — Venda nº 190686</t>
  </si>
  <si>
    <t xml:space="preserve">[ Inserir imagem da nota/registro aqui — Inserir &gt; Imagens ]</t>
  </si>
  <si>
    <t xml:space="preserve">Observações: Itens devolvidos ao fornecedor (não utilizados): 4 packs Coca-Cola lata c/12 (R$164,00) + 3 packs Fanta Laranja c/12 (R$120,00) + 3 packs Fanta Uva c/12 (R$120,00) + 2 packs Guaraná Antarctica c/12 (R$80,00) + 3 caixas Guaravita c/24 (R$69,00) = total devolvido R$553,00. Além disso, a cerveja Heineken (R$268,00) e o chopp de vinho Bodegão (R$113,40) foram pagos à parte e também não entram no custo considerado. Ver detalhamento completo na aba 'Despesas da Festa'.</t>
  </si>
  <si>
    <t xml:space="preserve">Nota/Registro Nº 2 — [preencher]</t>
  </si>
  <si>
    <t xml:space="preserve">Data: [preencher]</t>
  </si>
  <si>
    <t xml:space="preserve">Fornecedor: [preencher]</t>
  </si>
  <si>
    <t xml:space="preserve">Valor: [preencher]</t>
  </si>
  <si>
    <t xml:space="preserve">Referente a: [preencher]</t>
  </si>
  <si>
    <t xml:space="preserve">Observações: </t>
  </si>
  <si>
    <t xml:space="preserve">Nota/Registro Nº 3 — [preencher]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</si>
</sst>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99999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E2EFDA"/>
      </patternFill>
    </fill>
    <fill>
      <patternFill patternType="solid">
        <fgColor rgb="FF2E7D32"/>
        <bgColor rgb="FF008000"/>
      </patternFill>
    </fill>
    <fill>
      <patternFill patternType="solid">
        <fgColor rgb="FFE2EFDA"/>
        <bgColor rgb="FFDCE6F1"/>
      </patternFill>
    </fill>
    <fill>
      <patternFill patternType="solid">
        <fgColor rgb="FFFFF3CD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 style="medium">
        <color rgb="FF1F3864"/>
      </left>
      <right style="medium">
        <color rgb="FF1F3864"/>
      </right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2E7D32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5.5" hidden="false" customHeight="true" outlineLevel="0" collapsed="false">
      <c r="A1" s="1" t="s">
        <v>0</v>
      </c>
    </row>
    <row r="3" customFormat="false" ht="13.5" hidden="false" customHeight="true" outlineLevel="0" collapsed="false">
      <c r="A3" s="2"/>
    </row>
    <row r="4" customFormat="false" ht="27.75" hidden="false" customHeight="true" outlineLevel="0" collapsed="false">
      <c r="A4" s="2" t="s">
        <v>1</v>
      </c>
    </row>
    <row r="5" customFormat="false" ht="13.5" hidden="false" customHeight="true" outlineLevel="0" collapsed="false">
      <c r="A5" s="2"/>
    </row>
    <row r="6" customFormat="false" ht="13.5" hidden="false" customHeight="true" outlineLevel="0" collapsed="false">
      <c r="A6" s="3" t="s">
        <v>2</v>
      </c>
    </row>
    <row r="7" customFormat="false" ht="27.75" hidden="false" customHeight="true" outlineLevel="0" collapsed="false">
      <c r="A7" s="2" t="s">
        <v>3</v>
      </c>
    </row>
    <row r="8" customFormat="false" ht="13.5" hidden="false" customHeight="true" outlineLevel="0" collapsed="false">
      <c r="A8" s="2"/>
    </row>
    <row r="9" customFormat="false" ht="13.5" hidden="false" customHeight="true" outlineLevel="0" collapsed="false">
      <c r="A9" s="4" t="s">
        <v>4</v>
      </c>
    </row>
    <row r="10" customFormat="false" ht="13.5" hidden="false" customHeight="true" outlineLevel="0" collapsed="false">
      <c r="A10" s="2" t="s">
        <v>5</v>
      </c>
    </row>
    <row r="11" customFormat="false" ht="27.75" hidden="false" customHeight="true" outlineLevel="0" collapsed="false">
      <c r="A11" s="2" t="s">
        <v>6</v>
      </c>
    </row>
    <row r="12" customFormat="false" ht="27.75" hidden="false" customHeight="true" outlineLevel="0" collapsed="false">
      <c r="A12" s="2" t="s">
        <v>7</v>
      </c>
    </row>
    <row r="13" customFormat="false" ht="27.75" hidden="false" customHeight="true" outlineLevel="0" collapsed="false">
      <c r="A13" s="2" t="s">
        <v>8</v>
      </c>
    </row>
    <row r="14" customFormat="false" ht="27.75" hidden="false" customHeight="true" outlineLevel="0" collapsed="false">
      <c r="A14" s="2" t="s">
        <v>9</v>
      </c>
    </row>
    <row r="15" customFormat="false" ht="13.5" hidden="false" customHeight="true" outlineLevel="0" collapsed="false">
      <c r="A15" s="2" t="s">
        <v>10</v>
      </c>
    </row>
    <row r="16" customFormat="false" ht="27.75" hidden="false" customHeight="true" outlineLevel="0" collapsed="false">
      <c r="A16" s="2" t="s">
        <v>11</v>
      </c>
    </row>
    <row r="17" customFormat="false" ht="13.5" hidden="false" customHeight="true" outlineLevel="0" collapsed="false">
      <c r="A17" s="2" t="s">
        <v>12</v>
      </c>
    </row>
    <row r="18" customFormat="false" ht="13.5" hidden="false" customHeight="true" outlineLevel="0" collapsed="false">
      <c r="A18" s="2"/>
    </row>
    <row r="19" customFormat="false" ht="13.5" hidden="false" customHeight="true" outlineLevel="0" collapsed="false">
      <c r="A19" s="4" t="s">
        <v>13</v>
      </c>
    </row>
    <row r="20" customFormat="false" ht="13.5" hidden="false" customHeight="true" outlineLevel="0" collapsed="false">
      <c r="A20" s="2" t="s">
        <v>14</v>
      </c>
    </row>
    <row r="21" customFormat="false" ht="13.5" hidden="false" customHeight="true" outlineLevel="0" collapsed="false">
      <c r="A21" s="2" t="s">
        <v>15</v>
      </c>
    </row>
    <row r="22" customFormat="false" ht="13.5" hidden="false" customHeight="true" outlineLevel="0" collapsed="false">
      <c r="A22" s="2" t="s">
        <v>16</v>
      </c>
    </row>
    <row r="23" customFormat="false" ht="27.75" hidden="false" customHeight="true" outlineLevel="0" collapsed="false">
      <c r="A23" s="2" t="s">
        <v>17</v>
      </c>
    </row>
    <row r="24" customFormat="false" ht="13.5" hidden="false" customHeight="true" outlineLevel="0" collapsed="false">
      <c r="A24" s="2" t="s">
        <v>18</v>
      </c>
    </row>
    <row r="25" customFormat="false" ht="27.75" hidden="false" customHeight="true" outlineLevel="0" collapsed="false">
      <c r="A25" s="2" t="s">
        <v>19</v>
      </c>
    </row>
    <row r="26" customFormat="false" ht="27.75" hidden="false" customHeight="tru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5" t="s">
        <v>21</v>
      </c>
      <c r="B1" s="5"/>
      <c r="C1" s="5"/>
    </row>
    <row r="2" customFormat="false" ht="39.55" hidden="false" customHeight="false" outlineLevel="0" collapsed="false">
      <c r="A2" s="6" t="s">
        <v>22</v>
      </c>
      <c r="B2" s="6" t="s">
        <v>23</v>
      </c>
      <c r="C2" s="6" t="s">
        <v>24</v>
      </c>
    </row>
    <row r="3" customFormat="false" ht="23.85" hidden="false" customHeight="false" outlineLevel="0" collapsed="false">
      <c r="A3" s="7" t="n">
        <v>1</v>
      </c>
      <c r="B3" s="8" t="s">
        <v>25</v>
      </c>
      <c r="C3" s="9" t="s">
        <v>26</v>
      </c>
    </row>
    <row r="4" customFormat="false" ht="23.85" hidden="false" customHeight="false" outlineLevel="0" collapsed="false">
      <c r="A4" s="7" t="n">
        <v>2</v>
      </c>
      <c r="B4" s="8" t="s">
        <v>27</v>
      </c>
      <c r="C4" s="9" t="s">
        <v>28</v>
      </c>
    </row>
    <row r="5" customFormat="false" ht="23.85" hidden="false" customHeight="false" outlineLevel="0" collapsed="false">
      <c r="A5" s="7" t="n">
        <v>3</v>
      </c>
      <c r="B5" s="8" t="s">
        <v>29</v>
      </c>
      <c r="C5" s="9" t="s">
        <v>30</v>
      </c>
    </row>
    <row r="6" customFormat="false" ht="23.85" hidden="false" customHeight="false" outlineLevel="0" collapsed="false">
      <c r="A6" s="7" t="n">
        <v>4</v>
      </c>
      <c r="B6" s="8" t="s">
        <v>31</v>
      </c>
      <c r="C6" s="9" t="s">
        <v>32</v>
      </c>
    </row>
    <row r="7" customFormat="false" ht="23.85" hidden="false" customHeight="false" outlineLevel="0" collapsed="false">
      <c r="A7" s="7" t="n">
        <v>5</v>
      </c>
      <c r="B7" s="8" t="s">
        <v>33</v>
      </c>
      <c r="C7" s="9" t="s">
        <v>34</v>
      </c>
    </row>
    <row r="8" customFormat="false" ht="23.85" hidden="false" customHeight="false" outlineLevel="0" collapsed="false">
      <c r="A8" s="7" t="n">
        <v>6</v>
      </c>
      <c r="B8" s="8" t="s">
        <v>35</v>
      </c>
      <c r="C8" s="9" t="s">
        <v>36</v>
      </c>
    </row>
    <row r="9" customFormat="false" ht="23.85" hidden="false" customHeight="false" outlineLevel="0" collapsed="false">
      <c r="A9" s="7" t="n">
        <v>7</v>
      </c>
      <c r="B9" s="8" t="s">
        <v>37</v>
      </c>
      <c r="C9" s="9" t="s">
        <v>38</v>
      </c>
    </row>
    <row r="10" customFormat="false" ht="23.85" hidden="false" customHeight="false" outlineLevel="0" collapsed="false">
      <c r="A10" s="7" t="n">
        <v>8</v>
      </c>
      <c r="B10" s="8" t="s">
        <v>39</v>
      </c>
      <c r="C10" s="9" t="s">
        <v>40</v>
      </c>
    </row>
    <row r="11" customFormat="false" ht="15" hidden="false" customHeight="false" outlineLevel="0" collapsed="false">
      <c r="A11" s="7" t="n">
        <v>9</v>
      </c>
      <c r="B11" s="8" t="s">
        <v>41</v>
      </c>
      <c r="C11" s="9" t="s">
        <v>42</v>
      </c>
    </row>
    <row r="12" customFormat="false" ht="15" hidden="false" customHeight="false" outlineLevel="0" collapsed="false">
      <c r="A12" s="7" t="n">
        <v>10</v>
      </c>
      <c r="B12" s="8" t="s">
        <v>43</v>
      </c>
      <c r="C12" s="9" t="s">
        <v>44</v>
      </c>
    </row>
    <row r="13" customFormat="false" ht="23.85" hidden="false" customHeight="false" outlineLevel="0" collapsed="false">
      <c r="A13" s="7" t="n">
        <v>11</v>
      </c>
      <c r="B13" s="8" t="s">
        <v>45</v>
      </c>
      <c r="C13" s="9" t="s">
        <v>46</v>
      </c>
    </row>
    <row r="14" customFormat="false" ht="23.85" hidden="false" customHeight="false" outlineLevel="0" collapsed="false">
      <c r="A14" s="7" t="n">
        <v>12</v>
      </c>
      <c r="B14" s="8" t="s">
        <v>47</v>
      </c>
      <c r="C14" s="9" t="s">
        <v>48</v>
      </c>
    </row>
    <row r="15" customFormat="false" ht="23.85" hidden="false" customHeight="false" outlineLevel="0" collapsed="false">
      <c r="A15" s="7" t="n">
        <v>13</v>
      </c>
      <c r="B15" s="8" t="s">
        <v>49</v>
      </c>
      <c r="C15" s="9" t="s">
        <v>50</v>
      </c>
    </row>
    <row r="16" customFormat="false" ht="23.85" hidden="false" customHeight="false" outlineLevel="0" collapsed="false">
      <c r="A16" s="7" t="n">
        <v>14</v>
      </c>
      <c r="B16" s="8" t="s">
        <v>51</v>
      </c>
      <c r="C16" s="9" t="s">
        <v>52</v>
      </c>
    </row>
    <row r="17" customFormat="false" ht="23.85" hidden="false" customHeight="false" outlineLevel="0" collapsed="false">
      <c r="A17" s="7" t="n">
        <v>15</v>
      </c>
      <c r="B17" s="8" t="s">
        <v>53</v>
      </c>
      <c r="C17" s="9" t="s">
        <v>54</v>
      </c>
    </row>
    <row r="18" customFormat="false" ht="23.85" hidden="false" customHeight="false" outlineLevel="0" collapsed="false">
      <c r="A18" s="7" t="n">
        <v>16</v>
      </c>
      <c r="B18" s="8" t="s">
        <v>55</v>
      </c>
      <c r="C18" s="9" t="s">
        <v>56</v>
      </c>
    </row>
    <row r="19" customFormat="false" ht="15" hidden="false" customHeight="false" outlineLevel="0" collapsed="false">
      <c r="A19" s="7" t="n">
        <v>17</v>
      </c>
      <c r="B19" s="8" t="s">
        <v>57</v>
      </c>
      <c r="C19" s="9" t="s">
        <v>58</v>
      </c>
    </row>
    <row r="20" customFormat="false" ht="23.85" hidden="false" customHeight="false" outlineLevel="0" collapsed="false">
      <c r="A20" s="7" t="n">
        <v>18</v>
      </c>
      <c r="B20" s="8" t="s">
        <v>59</v>
      </c>
      <c r="C20" s="9" t="s">
        <v>60</v>
      </c>
    </row>
    <row r="21" customFormat="false" ht="23.85" hidden="false" customHeight="false" outlineLevel="0" collapsed="false">
      <c r="A21" s="7" t="n">
        <v>19</v>
      </c>
      <c r="B21" s="8" t="s">
        <v>61</v>
      </c>
      <c r="C21" s="9" t="s">
        <v>62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25.5" hidden="false" customHeight="true" outlineLevel="0" collapsed="false">
      <c r="A1" s="5" t="s">
        <v>63</v>
      </c>
      <c r="B1" s="5"/>
      <c r="C1" s="5"/>
      <c r="D1" s="5"/>
      <c r="E1" s="5"/>
      <c r="F1" s="5"/>
    </row>
    <row r="2" customFormat="false" ht="26.85" hidden="false" customHeight="false" outlineLevel="0" collapsed="false">
      <c r="A2" s="6" t="s">
        <v>64</v>
      </c>
      <c r="B2" s="6" t="s">
        <v>65</v>
      </c>
      <c r="C2" s="6" t="s">
        <v>66</v>
      </c>
      <c r="D2" s="6" t="s">
        <v>67</v>
      </c>
      <c r="E2" s="6" t="s">
        <v>68</v>
      </c>
      <c r="F2" s="6" t="s">
        <v>69</v>
      </c>
    </row>
    <row r="3" customFormat="false" ht="15" hidden="false" customHeight="false" outlineLevel="0" collapsed="false">
      <c r="A3" s="10" t="n">
        <v>1</v>
      </c>
      <c r="B3" s="10" t="n">
        <v>1</v>
      </c>
      <c r="C3" s="11" t="s">
        <v>70</v>
      </c>
      <c r="D3" s="12" t="n">
        <v>18</v>
      </c>
      <c r="E3" s="10" t="s">
        <v>71</v>
      </c>
      <c r="F3" s="11"/>
    </row>
    <row r="4" customFormat="false" ht="15" hidden="false" customHeight="false" outlineLevel="0" collapsed="false">
      <c r="A4" s="10" t="n">
        <v>2</v>
      </c>
      <c r="B4" s="10" t="n">
        <v>1</v>
      </c>
      <c r="C4" s="11" t="s">
        <v>70</v>
      </c>
      <c r="D4" s="12" t="n">
        <v>11</v>
      </c>
      <c r="E4" s="10" t="s">
        <v>71</v>
      </c>
      <c r="F4" s="11"/>
    </row>
    <row r="5" customFormat="false" ht="15" hidden="false" customHeight="false" outlineLevel="0" collapsed="false">
      <c r="A5" s="10" t="n">
        <v>3</v>
      </c>
      <c r="B5" s="10" t="n">
        <v>1</v>
      </c>
      <c r="C5" s="11" t="s">
        <v>70</v>
      </c>
      <c r="D5" s="12" t="n">
        <v>5</v>
      </c>
      <c r="E5" s="10" t="s">
        <v>72</v>
      </c>
      <c r="F5" s="11"/>
    </row>
    <row r="6" customFormat="false" ht="15" hidden="false" customHeight="false" outlineLevel="0" collapsed="false">
      <c r="A6" s="10" t="n">
        <v>4</v>
      </c>
      <c r="B6" s="10" t="n">
        <v>1</v>
      </c>
      <c r="C6" s="11" t="s">
        <v>70</v>
      </c>
      <c r="D6" s="12" t="n">
        <v>12</v>
      </c>
      <c r="E6" s="10" t="s">
        <v>71</v>
      </c>
      <c r="F6" s="11"/>
    </row>
    <row r="7" customFormat="false" ht="15" hidden="false" customHeight="false" outlineLevel="0" collapsed="false">
      <c r="A7" s="10" t="n">
        <v>5</v>
      </c>
      <c r="B7" s="10" t="n">
        <v>1</v>
      </c>
      <c r="C7" s="11" t="s">
        <v>70</v>
      </c>
      <c r="D7" s="12" t="n">
        <v>5</v>
      </c>
      <c r="E7" s="10" t="s">
        <v>72</v>
      </c>
      <c r="F7" s="11"/>
    </row>
    <row r="8" customFormat="false" ht="15" hidden="false" customHeight="false" outlineLevel="0" collapsed="false">
      <c r="A8" s="10" t="n">
        <v>6</v>
      </c>
      <c r="B8" s="10" t="n">
        <v>1</v>
      </c>
      <c r="C8" s="11" t="s">
        <v>70</v>
      </c>
      <c r="D8" s="12" t="n">
        <v>4</v>
      </c>
      <c r="E8" s="10" t="s">
        <v>72</v>
      </c>
      <c r="F8" s="11"/>
    </row>
    <row r="9" customFormat="false" ht="15" hidden="false" customHeight="false" outlineLevel="0" collapsed="false">
      <c r="A9" s="10" t="n">
        <v>7</v>
      </c>
      <c r="B9" s="10" t="n">
        <v>1</v>
      </c>
      <c r="C9" s="11" t="s">
        <v>70</v>
      </c>
      <c r="D9" s="12" t="n">
        <v>4</v>
      </c>
      <c r="E9" s="10" t="s">
        <v>72</v>
      </c>
      <c r="F9" s="11"/>
    </row>
    <row r="10" customFormat="false" ht="15" hidden="false" customHeight="false" outlineLevel="0" collapsed="false">
      <c r="A10" s="10" t="n">
        <v>8</v>
      </c>
      <c r="B10" s="10" t="n">
        <v>1</v>
      </c>
      <c r="C10" s="11" t="s">
        <v>70</v>
      </c>
      <c r="D10" s="12" t="n">
        <v>4</v>
      </c>
      <c r="E10" s="10" t="s">
        <v>71</v>
      </c>
      <c r="F10" s="11" t="s">
        <v>73</v>
      </c>
    </row>
    <row r="11" customFormat="false" ht="15" hidden="false" customHeight="false" outlineLevel="0" collapsed="false">
      <c r="A11" s="10" t="n">
        <v>9</v>
      </c>
      <c r="B11" s="10" t="n">
        <v>1</v>
      </c>
      <c r="C11" s="11" t="s">
        <v>70</v>
      </c>
      <c r="D11" s="12" t="n">
        <v>12</v>
      </c>
      <c r="E11" s="10" t="s">
        <v>72</v>
      </c>
      <c r="F11" s="11"/>
    </row>
    <row r="12" customFormat="false" ht="15" hidden="false" customHeight="false" outlineLevel="0" collapsed="false">
      <c r="A12" s="10" t="n">
        <v>10</v>
      </c>
      <c r="B12" s="10" t="n">
        <v>1</v>
      </c>
      <c r="C12" s="11" t="s">
        <v>70</v>
      </c>
      <c r="D12" s="12" t="n">
        <v>20</v>
      </c>
      <c r="E12" s="10" t="s">
        <v>72</v>
      </c>
      <c r="F12" s="11"/>
    </row>
    <row r="13" customFormat="false" ht="15" hidden="false" customHeight="false" outlineLevel="0" collapsed="false">
      <c r="A13" s="10" t="n">
        <v>11</v>
      </c>
      <c r="B13" s="10" t="n">
        <v>1</v>
      </c>
      <c r="C13" s="11" t="s">
        <v>70</v>
      </c>
      <c r="D13" s="12" t="n">
        <v>8</v>
      </c>
      <c r="E13" s="10" t="s">
        <v>72</v>
      </c>
      <c r="F13" s="11"/>
    </row>
    <row r="14" customFormat="false" ht="15" hidden="false" customHeight="false" outlineLevel="0" collapsed="false">
      <c r="A14" s="10" t="n">
        <v>12</v>
      </c>
      <c r="B14" s="10" t="n">
        <v>1</v>
      </c>
      <c r="C14" s="11" t="s">
        <v>70</v>
      </c>
      <c r="D14" s="12" t="n">
        <v>4</v>
      </c>
      <c r="E14" s="10" t="s">
        <v>72</v>
      </c>
      <c r="F14" s="11"/>
    </row>
    <row r="15" customFormat="false" ht="15" hidden="false" customHeight="false" outlineLevel="0" collapsed="false">
      <c r="A15" s="10" t="n">
        <v>13</v>
      </c>
      <c r="B15" s="10" t="n">
        <v>1</v>
      </c>
      <c r="C15" s="11" t="s">
        <v>70</v>
      </c>
      <c r="D15" s="12" t="n">
        <v>11</v>
      </c>
      <c r="E15" s="10" t="s">
        <v>72</v>
      </c>
      <c r="F15" s="11"/>
    </row>
    <row r="16" customFormat="false" ht="15" hidden="false" customHeight="false" outlineLevel="0" collapsed="false">
      <c r="A16" s="10" t="n">
        <v>14</v>
      </c>
      <c r="B16" s="10" t="n">
        <v>1</v>
      </c>
      <c r="C16" s="11" t="s">
        <v>70</v>
      </c>
      <c r="D16" s="12" t="n">
        <v>8</v>
      </c>
      <c r="E16" s="10" t="s">
        <v>71</v>
      </c>
      <c r="F16" s="11"/>
    </row>
    <row r="17" customFormat="false" ht="15" hidden="false" customHeight="false" outlineLevel="0" collapsed="false">
      <c r="A17" s="10" t="n">
        <v>15</v>
      </c>
      <c r="B17" s="10" t="n">
        <v>1</v>
      </c>
      <c r="C17" s="11" t="s">
        <v>70</v>
      </c>
      <c r="D17" s="12" t="n">
        <v>7</v>
      </c>
      <c r="E17" s="10" t="s">
        <v>71</v>
      </c>
      <c r="F17" s="11"/>
    </row>
    <row r="18" customFormat="false" ht="15" hidden="false" customHeight="false" outlineLevel="0" collapsed="false">
      <c r="A18" s="10" t="n">
        <v>16</v>
      </c>
      <c r="B18" s="10" t="n">
        <v>1</v>
      </c>
      <c r="C18" s="11" t="s">
        <v>70</v>
      </c>
      <c r="D18" s="12" t="n">
        <v>8</v>
      </c>
      <c r="E18" s="10" t="s">
        <v>71</v>
      </c>
      <c r="F18" s="11"/>
    </row>
    <row r="19" customFormat="false" ht="15" hidden="false" customHeight="false" outlineLevel="0" collapsed="false">
      <c r="A19" s="10" t="n">
        <v>17</v>
      </c>
      <c r="B19" s="10" t="n">
        <v>1</v>
      </c>
      <c r="C19" s="11" t="s">
        <v>70</v>
      </c>
      <c r="D19" s="12" t="n">
        <v>7</v>
      </c>
      <c r="E19" s="10" t="s">
        <v>71</v>
      </c>
      <c r="F19" s="11"/>
    </row>
    <row r="20" customFormat="false" ht="15" hidden="false" customHeight="false" outlineLevel="0" collapsed="false">
      <c r="A20" s="10" t="n">
        <v>18</v>
      </c>
      <c r="B20" s="10" t="n">
        <v>1</v>
      </c>
      <c r="C20" s="11" t="s">
        <v>70</v>
      </c>
      <c r="D20" s="12" t="n">
        <v>2</v>
      </c>
      <c r="E20" s="10" t="s">
        <v>71</v>
      </c>
      <c r="F20" s="11"/>
    </row>
    <row r="21" customFormat="false" ht="15" hidden="false" customHeight="false" outlineLevel="0" collapsed="false">
      <c r="A21" s="10" t="n">
        <v>19</v>
      </c>
      <c r="B21" s="10" t="n">
        <v>1</v>
      </c>
      <c r="C21" s="11" t="s">
        <v>70</v>
      </c>
      <c r="D21" s="12" t="n">
        <v>8</v>
      </c>
      <c r="E21" s="10" t="s">
        <v>71</v>
      </c>
      <c r="F21" s="11"/>
    </row>
    <row r="22" customFormat="false" ht="15" hidden="false" customHeight="false" outlineLevel="0" collapsed="false">
      <c r="A22" s="10" t="n">
        <v>20</v>
      </c>
      <c r="B22" s="10" t="n">
        <v>1</v>
      </c>
      <c r="C22" s="11" t="s">
        <v>70</v>
      </c>
      <c r="D22" s="12" t="n">
        <v>24</v>
      </c>
      <c r="E22" s="10" t="s">
        <v>72</v>
      </c>
      <c r="F22" s="11"/>
    </row>
    <row r="23" customFormat="false" ht="15" hidden="false" customHeight="false" outlineLevel="0" collapsed="false">
      <c r="A23" s="10" t="n">
        <v>21</v>
      </c>
      <c r="B23" s="10" t="n">
        <v>1</v>
      </c>
      <c r="C23" s="11" t="s">
        <v>70</v>
      </c>
      <c r="D23" s="12" t="n">
        <v>8</v>
      </c>
      <c r="E23" s="10" t="s">
        <v>72</v>
      </c>
      <c r="F23" s="11"/>
    </row>
    <row r="24" customFormat="false" ht="15" hidden="false" customHeight="false" outlineLevel="0" collapsed="false">
      <c r="A24" s="10" t="n">
        <v>22</v>
      </c>
      <c r="B24" s="10" t="n">
        <v>1</v>
      </c>
      <c r="C24" s="11" t="s">
        <v>70</v>
      </c>
      <c r="D24" s="12" t="n">
        <v>12</v>
      </c>
      <c r="E24" s="10" t="s">
        <v>71</v>
      </c>
      <c r="F24" s="11"/>
    </row>
    <row r="25" customFormat="false" ht="15" hidden="false" customHeight="false" outlineLevel="0" collapsed="false">
      <c r="A25" s="10" t="n">
        <v>23</v>
      </c>
      <c r="B25" s="10" t="n">
        <v>1</v>
      </c>
      <c r="C25" s="11" t="s">
        <v>70</v>
      </c>
      <c r="D25" s="12" t="n">
        <v>27</v>
      </c>
      <c r="E25" s="10" t="s">
        <v>71</v>
      </c>
      <c r="F25" s="11"/>
    </row>
    <row r="26" customFormat="false" ht="15" hidden="false" customHeight="false" outlineLevel="0" collapsed="false">
      <c r="A26" s="10" t="n">
        <v>24</v>
      </c>
      <c r="B26" s="10" t="n">
        <v>1</v>
      </c>
      <c r="C26" s="11" t="s">
        <v>70</v>
      </c>
      <c r="D26" s="12" t="n">
        <v>20</v>
      </c>
      <c r="E26" s="10" t="s">
        <v>74</v>
      </c>
      <c r="F26" s="11"/>
    </row>
    <row r="27" customFormat="false" ht="15" hidden="false" customHeight="false" outlineLevel="0" collapsed="false">
      <c r="A27" s="10" t="n">
        <v>25</v>
      </c>
      <c r="B27" s="10" t="n">
        <v>1</v>
      </c>
      <c r="C27" s="11" t="s">
        <v>70</v>
      </c>
      <c r="D27" s="12" t="n">
        <v>7</v>
      </c>
      <c r="E27" s="10" t="s">
        <v>72</v>
      </c>
      <c r="F27" s="11"/>
    </row>
    <row r="28" customFormat="false" ht="15" hidden="false" customHeight="false" outlineLevel="0" collapsed="false">
      <c r="A28" s="10" t="n">
        <v>26</v>
      </c>
      <c r="B28" s="10" t="n">
        <v>1</v>
      </c>
      <c r="C28" s="11" t="s">
        <v>70</v>
      </c>
      <c r="D28" s="12" t="n">
        <v>12</v>
      </c>
      <c r="E28" s="10" t="s">
        <v>72</v>
      </c>
      <c r="F28" s="11"/>
    </row>
    <row r="29" customFormat="false" ht="15" hidden="false" customHeight="false" outlineLevel="0" collapsed="false">
      <c r="A29" s="10" t="n">
        <v>27</v>
      </c>
      <c r="B29" s="10" t="n">
        <v>1</v>
      </c>
      <c r="C29" s="11" t="s">
        <v>70</v>
      </c>
      <c r="D29" s="12" t="n">
        <v>7</v>
      </c>
      <c r="E29" s="10" t="s">
        <v>71</v>
      </c>
      <c r="F29" s="11"/>
    </row>
    <row r="30" customFormat="false" ht="15" hidden="false" customHeight="false" outlineLevel="0" collapsed="false">
      <c r="A30" s="10" t="n">
        <v>28</v>
      </c>
      <c r="B30" s="10" t="n">
        <v>1</v>
      </c>
      <c r="C30" s="11" t="s">
        <v>70</v>
      </c>
      <c r="D30" s="12" t="n">
        <v>11</v>
      </c>
      <c r="E30" s="10" t="s">
        <v>71</v>
      </c>
      <c r="F30" s="11"/>
    </row>
    <row r="31" customFormat="false" ht="15" hidden="false" customHeight="false" outlineLevel="0" collapsed="false">
      <c r="A31" s="10" t="n">
        <v>29</v>
      </c>
      <c r="B31" s="10" t="n">
        <v>1</v>
      </c>
      <c r="C31" s="11" t="s">
        <v>70</v>
      </c>
      <c r="D31" s="12" t="n">
        <v>14</v>
      </c>
      <c r="E31" s="10" t="s">
        <v>71</v>
      </c>
      <c r="F31" s="11"/>
    </row>
    <row r="32" customFormat="false" ht="15" hidden="false" customHeight="false" outlineLevel="0" collapsed="false">
      <c r="A32" s="10" t="n">
        <v>30</v>
      </c>
      <c r="B32" s="10" t="n">
        <v>1</v>
      </c>
      <c r="C32" s="11" t="s">
        <v>70</v>
      </c>
      <c r="D32" s="12" t="n">
        <v>39</v>
      </c>
      <c r="E32" s="10" t="s">
        <v>71</v>
      </c>
      <c r="F32" s="11"/>
    </row>
    <row r="33" customFormat="false" ht="15" hidden="false" customHeight="false" outlineLevel="0" collapsed="false">
      <c r="A33" s="10" t="n">
        <v>31</v>
      </c>
      <c r="B33" s="10" t="n">
        <v>1</v>
      </c>
      <c r="C33" s="11" t="s">
        <v>70</v>
      </c>
      <c r="D33" s="12" t="n">
        <v>24</v>
      </c>
      <c r="E33" s="10" t="s">
        <v>71</v>
      </c>
      <c r="F33" s="11" t="s">
        <v>75</v>
      </c>
    </row>
    <row r="34" customFormat="false" ht="15" hidden="false" customHeight="false" outlineLevel="0" collapsed="false">
      <c r="A34" s="10" t="n">
        <v>32</v>
      </c>
      <c r="B34" s="10" t="n">
        <v>1</v>
      </c>
      <c r="C34" s="11" t="s">
        <v>70</v>
      </c>
      <c r="D34" s="12" t="n">
        <v>16</v>
      </c>
      <c r="E34" s="10" t="s">
        <v>72</v>
      </c>
      <c r="F34" s="11"/>
    </row>
    <row r="35" customFormat="false" ht="15" hidden="false" customHeight="false" outlineLevel="0" collapsed="false">
      <c r="A35" s="10" t="n">
        <v>33</v>
      </c>
      <c r="B35" s="10" t="n">
        <v>1</v>
      </c>
      <c r="C35" s="11" t="s">
        <v>70</v>
      </c>
      <c r="D35" s="12" t="n">
        <v>15</v>
      </c>
      <c r="E35" s="10" t="s">
        <v>71</v>
      </c>
      <c r="F35" s="11"/>
    </row>
    <row r="36" customFormat="false" ht="15" hidden="false" customHeight="false" outlineLevel="0" collapsed="false">
      <c r="A36" s="10" t="n">
        <v>34</v>
      </c>
      <c r="B36" s="10" t="n">
        <v>1</v>
      </c>
      <c r="C36" s="11" t="s">
        <v>70</v>
      </c>
      <c r="D36" s="12" t="n">
        <v>4</v>
      </c>
      <c r="E36" s="10" t="s">
        <v>71</v>
      </c>
      <c r="F36" s="11"/>
    </row>
    <row r="37" customFormat="false" ht="15" hidden="false" customHeight="false" outlineLevel="0" collapsed="false">
      <c r="A37" s="10" t="n">
        <v>35</v>
      </c>
      <c r="B37" s="10" t="n">
        <v>1</v>
      </c>
      <c r="C37" s="11" t="s">
        <v>70</v>
      </c>
      <c r="D37" s="12" t="n">
        <v>11</v>
      </c>
      <c r="E37" s="10" t="s">
        <v>71</v>
      </c>
      <c r="F37" s="11"/>
    </row>
    <row r="38" customFormat="false" ht="15" hidden="false" customHeight="false" outlineLevel="0" collapsed="false">
      <c r="A38" s="10" t="n">
        <v>36</v>
      </c>
      <c r="B38" s="10" t="n">
        <v>1</v>
      </c>
      <c r="C38" s="11" t="s">
        <v>70</v>
      </c>
      <c r="D38" s="12" t="n">
        <v>4</v>
      </c>
      <c r="E38" s="10" t="s">
        <v>71</v>
      </c>
      <c r="F38" s="11"/>
    </row>
    <row r="39" customFormat="false" ht="15" hidden="false" customHeight="false" outlineLevel="0" collapsed="false">
      <c r="A39" s="10" t="n">
        <v>37</v>
      </c>
      <c r="B39" s="10" t="n">
        <v>1</v>
      </c>
      <c r="C39" s="11" t="s">
        <v>70</v>
      </c>
      <c r="D39" s="12" t="n">
        <v>5</v>
      </c>
      <c r="E39" s="10" t="s">
        <v>71</v>
      </c>
      <c r="F39" s="11"/>
    </row>
    <row r="40" customFormat="false" ht="15" hidden="false" customHeight="false" outlineLevel="0" collapsed="false">
      <c r="A40" s="10" t="n">
        <v>38</v>
      </c>
      <c r="B40" s="10" t="n">
        <v>1</v>
      </c>
      <c r="C40" s="11" t="s">
        <v>70</v>
      </c>
      <c r="D40" s="12" t="n">
        <v>5</v>
      </c>
      <c r="E40" s="10" t="s">
        <v>72</v>
      </c>
      <c r="F40" s="11"/>
    </row>
    <row r="41" customFormat="false" ht="15" hidden="false" customHeight="false" outlineLevel="0" collapsed="false">
      <c r="A41" s="10" t="n">
        <v>39</v>
      </c>
      <c r="B41" s="10" t="n">
        <v>2</v>
      </c>
      <c r="C41" s="11" t="s">
        <v>76</v>
      </c>
      <c r="D41" s="12" t="n">
        <v>14</v>
      </c>
      <c r="E41" s="10" t="s">
        <v>72</v>
      </c>
      <c r="F41" s="11"/>
    </row>
    <row r="42" customFormat="false" ht="15" hidden="false" customHeight="false" outlineLevel="0" collapsed="false">
      <c r="A42" s="10" t="n">
        <v>40</v>
      </c>
      <c r="B42" s="10" t="n">
        <v>2</v>
      </c>
      <c r="C42" s="11" t="s">
        <v>77</v>
      </c>
      <c r="D42" s="12" t="n">
        <v>9</v>
      </c>
      <c r="E42" s="10" t="s">
        <v>78</v>
      </c>
      <c r="F42" s="11"/>
    </row>
    <row r="43" customFormat="false" ht="15" hidden="false" customHeight="false" outlineLevel="0" collapsed="false">
      <c r="A43" s="10" t="n">
        <v>41</v>
      </c>
      <c r="B43" s="10" t="n">
        <v>2</v>
      </c>
      <c r="C43" s="11" t="s">
        <v>79</v>
      </c>
      <c r="D43" s="12" t="n">
        <v>5</v>
      </c>
      <c r="E43" s="10" t="s">
        <v>71</v>
      </c>
      <c r="F43" s="11"/>
    </row>
    <row r="44" customFormat="false" ht="15" hidden="false" customHeight="false" outlineLevel="0" collapsed="false">
      <c r="A44" s="10" t="n">
        <v>42</v>
      </c>
      <c r="B44" s="10" t="n">
        <v>2</v>
      </c>
      <c r="C44" s="11" t="s">
        <v>80</v>
      </c>
      <c r="D44" s="12" t="n">
        <v>12</v>
      </c>
      <c r="E44" s="10" t="s">
        <v>72</v>
      </c>
      <c r="F44" s="11" t="s">
        <v>81</v>
      </c>
    </row>
    <row r="45" customFormat="false" ht="15" hidden="false" customHeight="false" outlineLevel="0" collapsed="false">
      <c r="A45" s="10" t="n">
        <v>43</v>
      </c>
      <c r="B45" s="10" t="n">
        <v>2</v>
      </c>
      <c r="C45" s="11" t="s">
        <v>82</v>
      </c>
      <c r="D45" s="12" t="n">
        <v>38</v>
      </c>
      <c r="E45" s="10" t="s">
        <v>74</v>
      </c>
      <c r="F45" s="11"/>
    </row>
    <row r="46" customFormat="false" ht="15" hidden="false" customHeight="false" outlineLevel="0" collapsed="false">
      <c r="A46" s="10" t="n">
        <v>44</v>
      </c>
      <c r="B46" s="10" t="n">
        <v>2</v>
      </c>
      <c r="C46" s="11" t="s">
        <v>83</v>
      </c>
      <c r="D46" s="12" t="n">
        <v>17</v>
      </c>
      <c r="E46" s="10" t="s">
        <v>72</v>
      </c>
      <c r="F46" s="11"/>
    </row>
    <row r="47" customFormat="false" ht="15" hidden="false" customHeight="false" outlineLevel="0" collapsed="false">
      <c r="A47" s="10" t="n">
        <v>45</v>
      </c>
      <c r="B47" s="10" t="n">
        <v>2</v>
      </c>
      <c r="C47" s="11" t="s">
        <v>84</v>
      </c>
      <c r="D47" s="12" t="n">
        <v>8</v>
      </c>
      <c r="E47" s="10" t="s">
        <v>71</v>
      </c>
      <c r="F47" s="11"/>
    </row>
    <row r="48" customFormat="false" ht="15" hidden="false" customHeight="false" outlineLevel="0" collapsed="false">
      <c r="A48" s="10" t="n">
        <v>46</v>
      </c>
      <c r="B48" s="10" t="n">
        <v>2</v>
      </c>
      <c r="C48" s="11" t="s">
        <v>85</v>
      </c>
      <c r="D48" s="12" t="n">
        <v>4</v>
      </c>
      <c r="E48" s="10" t="s">
        <v>71</v>
      </c>
      <c r="F48" s="11"/>
    </row>
    <row r="49" customFormat="false" ht="15" hidden="false" customHeight="false" outlineLevel="0" collapsed="false">
      <c r="A49" s="10" t="n">
        <v>47</v>
      </c>
      <c r="B49" s="10" t="n">
        <v>2</v>
      </c>
      <c r="C49" s="11" t="s">
        <v>84</v>
      </c>
      <c r="D49" s="12" t="n">
        <v>8</v>
      </c>
      <c r="E49" s="10" t="s">
        <v>74</v>
      </c>
      <c r="F49" s="11"/>
    </row>
    <row r="50" customFormat="false" ht="15" hidden="false" customHeight="false" outlineLevel="0" collapsed="false">
      <c r="A50" s="10" t="n">
        <v>48</v>
      </c>
      <c r="B50" s="10" t="n">
        <v>2</v>
      </c>
      <c r="C50" s="11" t="s">
        <v>86</v>
      </c>
      <c r="D50" s="12" t="n">
        <v>19</v>
      </c>
      <c r="E50" s="10" t="s">
        <v>78</v>
      </c>
      <c r="F50" s="11"/>
    </row>
    <row r="51" customFormat="false" ht="15" hidden="false" customHeight="false" outlineLevel="0" collapsed="false">
      <c r="A51" s="10" t="n">
        <v>49</v>
      </c>
      <c r="B51" s="10" t="n">
        <v>2</v>
      </c>
      <c r="C51" s="11" t="s">
        <v>87</v>
      </c>
      <c r="D51" s="12" t="n">
        <v>63</v>
      </c>
      <c r="E51" s="10" t="s">
        <v>71</v>
      </c>
      <c r="F51" s="11"/>
    </row>
    <row r="52" customFormat="false" ht="15" hidden="false" customHeight="false" outlineLevel="0" collapsed="false">
      <c r="A52" s="10" t="n">
        <v>50</v>
      </c>
      <c r="B52" s="10" t="n">
        <v>2</v>
      </c>
      <c r="C52" s="11" t="s">
        <v>88</v>
      </c>
      <c r="D52" s="12" t="n">
        <v>23</v>
      </c>
      <c r="E52" s="10" t="s">
        <v>74</v>
      </c>
      <c r="F52" s="11"/>
    </row>
    <row r="53" customFormat="false" ht="15" hidden="false" customHeight="false" outlineLevel="0" collapsed="false">
      <c r="A53" s="10" t="n">
        <v>51</v>
      </c>
      <c r="B53" s="10" t="n">
        <v>2</v>
      </c>
      <c r="C53" s="11" t="s">
        <v>89</v>
      </c>
      <c r="D53" s="12" t="n">
        <v>23</v>
      </c>
      <c r="E53" s="10" t="s">
        <v>71</v>
      </c>
      <c r="F53" s="11"/>
    </row>
    <row r="54" customFormat="false" ht="15" hidden="false" customHeight="false" outlineLevel="0" collapsed="false">
      <c r="A54" s="10" t="n">
        <v>52</v>
      </c>
      <c r="B54" s="10" t="n">
        <v>2</v>
      </c>
      <c r="C54" s="11" t="s">
        <v>90</v>
      </c>
      <c r="D54" s="12" t="n">
        <v>48</v>
      </c>
      <c r="E54" s="10" t="s">
        <v>72</v>
      </c>
      <c r="F54" s="11"/>
    </row>
    <row r="55" customFormat="false" ht="15" hidden="false" customHeight="false" outlineLevel="0" collapsed="false">
      <c r="A55" s="10" t="n">
        <v>53</v>
      </c>
      <c r="B55" s="10" t="n">
        <v>2</v>
      </c>
      <c r="C55" s="11" t="s">
        <v>91</v>
      </c>
      <c r="D55" s="12" t="n">
        <v>24</v>
      </c>
      <c r="E55" s="10" t="s">
        <v>78</v>
      </c>
      <c r="F55" s="11"/>
    </row>
    <row r="56" customFormat="false" ht="15" hidden="false" customHeight="false" outlineLevel="0" collapsed="false">
      <c r="A56" s="10" t="n">
        <v>54</v>
      </c>
      <c r="B56" s="10" t="n">
        <v>2</v>
      </c>
      <c r="C56" s="11" t="s">
        <v>84</v>
      </c>
      <c r="D56" s="12" t="n">
        <v>8</v>
      </c>
      <c r="E56" s="10" t="s">
        <v>71</v>
      </c>
      <c r="F56" s="11"/>
    </row>
    <row r="57" customFormat="false" ht="15" hidden="false" customHeight="false" outlineLevel="0" collapsed="false">
      <c r="A57" s="10" t="n">
        <v>55</v>
      </c>
      <c r="B57" s="10" t="n">
        <v>2</v>
      </c>
      <c r="C57" s="11" t="s">
        <v>92</v>
      </c>
      <c r="D57" s="12" t="n">
        <v>4</v>
      </c>
      <c r="E57" s="10" t="s">
        <v>71</v>
      </c>
      <c r="F57" s="11"/>
    </row>
    <row r="58" customFormat="false" ht="15" hidden="false" customHeight="false" outlineLevel="0" collapsed="false">
      <c r="A58" s="10" t="n">
        <v>56</v>
      </c>
      <c r="B58" s="10" t="n">
        <v>2</v>
      </c>
      <c r="C58" s="11" t="s">
        <v>93</v>
      </c>
      <c r="D58" s="12" t="n">
        <v>33</v>
      </c>
      <c r="E58" s="10" t="s">
        <v>74</v>
      </c>
      <c r="F58" s="11"/>
    </row>
    <row r="59" customFormat="false" ht="15" hidden="false" customHeight="false" outlineLevel="0" collapsed="false">
      <c r="A59" s="10" t="n">
        <v>57</v>
      </c>
      <c r="B59" s="10" t="n">
        <v>2</v>
      </c>
      <c r="C59" s="11" t="s">
        <v>94</v>
      </c>
      <c r="D59" s="12" t="n">
        <v>22</v>
      </c>
      <c r="E59" s="10" t="s">
        <v>78</v>
      </c>
      <c r="F59" s="11"/>
    </row>
    <row r="60" customFormat="false" ht="15" hidden="false" customHeight="false" outlineLevel="0" collapsed="false">
      <c r="A60" s="10" t="n">
        <v>58</v>
      </c>
      <c r="B60" s="10" t="n">
        <v>2</v>
      </c>
      <c r="C60" s="11" t="s">
        <v>92</v>
      </c>
      <c r="D60" s="12" t="n">
        <v>4</v>
      </c>
      <c r="E60" s="10" t="s">
        <v>71</v>
      </c>
      <c r="F60" s="11"/>
    </row>
    <row r="61" customFormat="false" ht="15" hidden="false" customHeight="false" outlineLevel="0" collapsed="false">
      <c r="A61" s="10" t="n">
        <v>59</v>
      </c>
      <c r="B61" s="10" t="n">
        <v>2</v>
      </c>
      <c r="C61" s="11" t="s">
        <v>95</v>
      </c>
      <c r="D61" s="12" t="n">
        <v>20</v>
      </c>
      <c r="E61" s="10" t="s">
        <v>71</v>
      </c>
      <c r="F61" s="11"/>
    </row>
    <row r="62" customFormat="false" ht="15" hidden="false" customHeight="false" outlineLevel="0" collapsed="false">
      <c r="A62" s="10" t="n">
        <v>60</v>
      </c>
      <c r="B62" s="10" t="n">
        <v>2</v>
      </c>
      <c r="C62" s="11" t="s">
        <v>96</v>
      </c>
      <c r="D62" s="12" t="n">
        <v>11</v>
      </c>
      <c r="E62" s="10" t="s">
        <v>71</v>
      </c>
      <c r="F62" s="11"/>
    </row>
    <row r="63" customFormat="false" ht="15" hidden="false" customHeight="false" outlineLevel="0" collapsed="false">
      <c r="A63" s="10" t="n">
        <v>61</v>
      </c>
      <c r="B63" s="10" t="n">
        <v>3</v>
      </c>
      <c r="C63" s="11" t="s">
        <v>97</v>
      </c>
      <c r="D63" s="12" t="n">
        <v>7</v>
      </c>
      <c r="E63" s="10" t="s">
        <v>98</v>
      </c>
      <c r="F63" s="11"/>
    </row>
    <row r="64" customFormat="false" ht="15" hidden="false" customHeight="false" outlineLevel="0" collapsed="false">
      <c r="A64" s="10" t="n">
        <v>62</v>
      </c>
      <c r="B64" s="10" t="n">
        <v>3</v>
      </c>
      <c r="C64" s="11" t="s">
        <v>99</v>
      </c>
      <c r="D64" s="12" t="n">
        <v>5</v>
      </c>
      <c r="E64" s="10" t="s">
        <v>71</v>
      </c>
      <c r="F64" s="11"/>
    </row>
    <row r="65" customFormat="false" ht="15" hidden="false" customHeight="false" outlineLevel="0" collapsed="false">
      <c r="A65" s="10" t="n">
        <v>63</v>
      </c>
      <c r="B65" s="10" t="n">
        <v>3</v>
      </c>
      <c r="C65" s="11" t="s">
        <v>100</v>
      </c>
      <c r="D65" s="12" t="n">
        <v>10</v>
      </c>
      <c r="E65" s="10" t="s">
        <v>72</v>
      </c>
      <c r="F65" s="11"/>
    </row>
    <row r="66" customFormat="false" ht="15" hidden="false" customHeight="false" outlineLevel="0" collapsed="false">
      <c r="A66" s="10" t="n">
        <v>64</v>
      </c>
      <c r="B66" s="10" t="n">
        <v>3</v>
      </c>
      <c r="C66" s="11" t="s">
        <v>99</v>
      </c>
      <c r="D66" s="12" t="n">
        <v>5</v>
      </c>
      <c r="E66" s="10" t="s">
        <v>72</v>
      </c>
      <c r="F66" s="11" t="s">
        <v>101</v>
      </c>
    </row>
    <row r="67" customFormat="false" ht="15" hidden="false" customHeight="false" outlineLevel="0" collapsed="false">
      <c r="A67" s="10" t="n">
        <v>65</v>
      </c>
      <c r="B67" s="10" t="n">
        <v>3</v>
      </c>
      <c r="C67" s="11" t="s">
        <v>102</v>
      </c>
      <c r="D67" s="12" t="n">
        <v>32</v>
      </c>
      <c r="E67" s="10" t="s">
        <v>71</v>
      </c>
      <c r="F67" s="11" t="s">
        <v>103</v>
      </c>
    </row>
    <row r="68" customFormat="false" ht="15" hidden="false" customHeight="false" outlineLevel="0" collapsed="false">
      <c r="A68" s="10" t="n">
        <v>66</v>
      </c>
      <c r="B68" s="10" t="n">
        <v>3</v>
      </c>
      <c r="C68" s="11" t="s">
        <v>104</v>
      </c>
      <c r="D68" s="12" t="n">
        <v>16</v>
      </c>
      <c r="E68" s="10" t="s">
        <v>71</v>
      </c>
      <c r="F68" s="11"/>
    </row>
    <row r="69" customFormat="false" ht="15" hidden="false" customHeight="false" outlineLevel="0" collapsed="false">
      <c r="A69" s="10" t="n">
        <v>67</v>
      </c>
      <c r="B69" s="10" t="n">
        <v>3</v>
      </c>
      <c r="C69" s="11" t="s">
        <v>105</v>
      </c>
      <c r="D69" s="12" t="n">
        <v>14</v>
      </c>
      <c r="E69" s="10" t="s">
        <v>71</v>
      </c>
      <c r="F69" s="11"/>
    </row>
    <row r="70" customFormat="false" ht="15" hidden="false" customHeight="false" outlineLevel="0" collapsed="false">
      <c r="A70" s="10" t="n">
        <v>68</v>
      </c>
      <c r="B70" s="10" t="n">
        <v>3</v>
      </c>
      <c r="C70" s="11" t="s">
        <v>106</v>
      </c>
      <c r="D70" s="12" t="n">
        <v>50</v>
      </c>
      <c r="E70" s="10" t="s">
        <v>71</v>
      </c>
      <c r="F70" s="11"/>
    </row>
    <row r="71" customFormat="false" ht="15" hidden="false" customHeight="false" outlineLevel="0" collapsed="false">
      <c r="A71" s="10" t="n">
        <v>69</v>
      </c>
      <c r="B71" s="10" t="n">
        <v>3</v>
      </c>
      <c r="C71" s="11" t="s">
        <v>107</v>
      </c>
      <c r="D71" s="12" t="n">
        <v>6</v>
      </c>
      <c r="E71" s="10" t="s">
        <v>71</v>
      </c>
      <c r="F71" s="11"/>
    </row>
    <row r="72" customFormat="false" ht="15" hidden="false" customHeight="false" outlineLevel="0" collapsed="false">
      <c r="A72" s="10" t="n">
        <v>70</v>
      </c>
      <c r="B72" s="10" t="n">
        <v>3</v>
      </c>
      <c r="C72" s="11" t="s">
        <v>108</v>
      </c>
      <c r="D72" s="12" t="n">
        <v>24</v>
      </c>
      <c r="E72" s="10" t="s">
        <v>71</v>
      </c>
      <c r="F72" s="11"/>
    </row>
    <row r="73" customFormat="false" ht="15" hidden="false" customHeight="false" outlineLevel="0" collapsed="false">
      <c r="A73" s="10" t="n">
        <v>71</v>
      </c>
      <c r="B73" s="10" t="n">
        <v>3</v>
      </c>
      <c r="C73" s="11" t="s">
        <v>109</v>
      </c>
      <c r="D73" s="12" t="n">
        <v>4</v>
      </c>
      <c r="E73" s="10" t="s">
        <v>72</v>
      </c>
      <c r="F73" s="11"/>
    </row>
    <row r="74" customFormat="false" ht="15" hidden="false" customHeight="false" outlineLevel="0" collapsed="false">
      <c r="A74" s="10" t="n">
        <v>72</v>
      </c>
      <c r="B74" s="10" t="n">
        <v>3</v>
      </c>
      <c r="C74" s="11" t="s">
        <v>110</v>
      </c>
      <c r="D74" s="12" t="n">
        <v>7</v>
      </c>
      <c r="E74" s="10" t="s">
        <v>71</v>
      </c>
      <c r="F74" s="11"/>
    </row>
    <row r="75" customFormat="false" ht="15" hidden="false" customHeight="false" outlineLevel="0" collapsed="false">
      <c r="A75" s="10" t="n">
        <v>73</v>
      </c>
      <c r="B75" s="10" t="n">
        <v>3</v>
      </c>
      <c r="C75" s="11" t="s">
        <v>92</v>
      </c>
      <c r="D75" s="12" t="n">
        <v>4</v>
      </c>
      <c r="E75" s="10" t="s">
        <v>72</v>
      </c>
      <c r="F75" s="11"/>
    </row>
    <row r="76" customFormat="false" ht="15" hidden="false" customHeight="false" outlineLevel="0" collapsed="false">
      <c r="A76" s="10" t="n">
        <v>74</v>
      </c>
      <c r="B76" s="10" t="n">
        <v>3</v>
      </c>
      <c r="C76" s="11" t="s">
        <v>111</v>
      </c>
      <c r="D76" s="12" t="n">
        <v>36</v>
      </c>
      <c r="E76" s="10" t="s">
        <v>74</v>
      </c>
      <c r="F76" s="11"/>
    </row>
    <row r="77" customFormat="false" ht="15" hidden="false" customHeight="false" outlineLevel="0" collapsed="false">
      <c r="A77" s="10" t="n">
        <v>75</v>
      </c>
      <c r="B77" s="10" t="n">
        <v>3</v>
      </c>
      <c r="C77" s="11" t="s">
        <v>112</v>
      </c>
      <c r="D77" s="12" t="n">
        <v>20</v>
      </c>
      <c r="E77" s="10" t="s">
        <v>74</v>
      </c>
      <c r="F77" s="11"/>
    </row>
    <row r="78" customFormat="false" ht="15" hidden="false" customHeight="false" outlineLevel="0" collapsed="false">
      <c r="A78" s="10" t="n">
        <v>76</v>
      </c>
      <c r="B78" s="10" t="n">
        <v>3</v>
      </c>
      <c r="C78" s="11" t="s">
        <v>84</v>
      </c>
      <c r="D78" s="12" t="n">
        <v>8</v>
      </c>
      <c r="E78" s="10" t="s">
        <v>72</v>
      </c>
      <c r="F78" s="11"/>
    </row>
    <row r="79" customFormat="false" ht="15" hidden="false" customHeight="false" outlineLevel="0" collapsed="false">
      <c r="A79" s="10" t="n">
        <v>77</v>
      </c>
      <c r="B79" s="10" t="n">
        <v>3</v>
      </c>
      <c r="C79" s="11" t="s">
        <v>84</v>
      </c>
      <c r="D79" s="12" t="n">
        <v>8</v>
      </c>
      <c r="E79" s="10" t="s">
        <v>72</v>
      </c>
      <c r="F79" s="11"/>
    </row>
    <row r="80" customFormat="false" ht="15" hidden="false" customHeight="false" outlineLevel="0" collapsed="false">
      <c r="A80" s="10" t="n">
        <v>78</v>
      </c>
      <c r="B80" s="10" t="n">
        <v>3</v>
      </c>
      <c r="C80" s="11" t="s">
        <v>113</v>
      </c>
      <c r="D80" s="12" t="n">
        <v>2</v>
      </c>
      <c r="E80" s="10" t="s">
        <v>72</v>
      </c>
      <c r="F80" s="11"/>
    </row>
    <row r="81" customFormat="false" ht="15" hidden="false" customHeight="false" outlineLevel="0" collapsed="false">
      <c r="A81" s="10" t="n">
        <v>79</v>
      </c>
      <c r="B81" s="10" t="n">
        <v>3</v>
      </c>
      <c r="C81" s="11" t="s">
        <v>114</v>
      </c>
      <c r="D81" s="12" t="n">
        <v>12</v>
      </c>
      <c r="E81" s="10" t="s">
        <v>71</v>
      </c>
      <c r="F81" s="11"/>
    </row>
    <row r="82" customFormat="false" ht="15" hidden="false" customHeight="false" outlineLevel="0" collapsed="false">
      <c r="A82" s="10" t="n">
        <v>80</v>
      </c>
      <c r="B82" s="10" t="n">
        <v>3</v>
      </c>
      <c r="C82" s="11" t="s">
        <v>115</v>
      </c>
      <c r="D82" s="12" t="n">
        <v>30</v>
      </c>
      <c r="E82" s="10" t="s">
        <v>71</v>
      </c>
      <c r="F82" s="11"/>
    </row>
    <row r="83" customFormat="false" ht="15" hidden="false" customHeight="false" outlineLevel="0" collapsed="false">
      <c r="A83" s="10" t="n">
        <v>81</v>
      </c>
      <c r="B83" s="10" t="n">
        <v>3</v>
      </c>
      <c r="C83" s="11" t="s">
        <v>116</v>
      </c>
      <c r="D83" s="12" t="n">
        <v>52</v>
      </c>
      <c r="E83" s="10" t="s">
        <v>72</v>
      </c>
      <c r="F83" s="11" t="s">
        <v>117</v>
      </c>
    </row>
    <row r="84" customFormat="false" ht="15" hidden="false" customHeight="false" outlineLevel="0" collapsed="false">
      <c r="A84" s="10" t="n">
        <v>82</v>
      </c>
      <c r="B84" s="10" t="n">
        <v>3</v>
      </c>
      <c r="C84" s="11" t="s">
        <v>118</v>
      </c>
      <c r="D84" s="12" t="n">
        <v>21</v>
      </c>
      <c r="E84" s="10" t="s">
        <v>74</v>
      </c>
      <c r="F84" s="11"/>
    </row>
    <row r="85" customFormat="false" ht="15" hidden="false" customHeight="false" outlineLevel="0" collapsed="false">
      <c r="A85" s="10" t="n">
        <v>83</v>
      </c>
      <c r="B85" s="10" t="n">
        <v>3</v>
      </c>
      <c r="C85" s="11" t="s">
        <v>92</v>
      </c>
      <c r="D85" s="12" t="n">
        <v>4</v>
      </c>
      <c r="E85" s="10" t="s">
        <v>72</v>
      </c>
      <c r="F85" s="11"/>
    </row>
    <row r="86" customFormat="false" ht="15" hidden="false" customHeight="false" outlineLevel="0" collapsed="false">
      <c r="A86" s="10" t="n">
        <v>84</v>
      </c>
      <c r="B86" s="10" t="n">
        <v>3</v>
      </c>
      <c r="C86" s="11" t="s">
        <v>92</v>
      </c>
      <c r="D86" s="12" t="n">
        <v>0</v>
      </c>
      <c r="E86" s="10" t="s">
        <v>72</v>
      </c>
      <c r="F86" s="11" t="s">
        <v>119</v>
      </c>
    </row>
    <row r="87" customFormat="false" ht="15" hidden="false" customHeight="false" outlineLevel="0" collapsed="false">
      <c r="A87" s="10" t="n">
        <v>85</v>
      </c>
      <c r="B87" s="10" t="n">
        <v>3</v>
      </c>
      <c r="C87" s="11" t="s">
        <v>120</v>
      </c>
      <c r="D87" s="12" t="n">
        <v>10</v>
      </c>
      <c r="E87" s="10" t="s">
        <v>71</v>
      </c>
      <c r="F87" s="11"/>
    </row>
    <row r="88" customFormat="false" ht="15" hidden="false" customHeight="false" outlineLevel="0" collapsed="false">
      <c r="A88" s="10" t="n">
        <v>86</v>
      </c>
      <c r="B88" s="10" t="n">
        <v>4</v>
      </c>
      <c r="C88" s="11" t="s">
        <v>121</v>
      </c>
      <c r="D88" s="12" t="n">
        <v>2</v>
      </c>
      <c r="E88" s="10" t="s">
        <v>122</v>
      </c>
      <c r="F88" s="11" t="s">
        <v>123</v>
      </c>
    </row>
    <row r="89" customFormat="false" ht="15" hidden="false" customHeight="false" outlineLevel="0" collapsed="false">
      <c r="A89" s="10" t="n">
        <v>87</v>
      </c>
      <c r="B89" s="10" t="n">
        <v>4</v>
      </c>
      <c r="C89" s="11" t="s">
        <v>124</v>
      </c>
      <c r="D89" s="12" t="n">
        <v>4</v>
      </c>
      <c r="E89" s="10" t="s">
        <v>72</v>
      </c>
      <c r="F89" s="11"/>
    </row>
    <row r="90" customFormat="false" ht="15" hidden="false" customHeight="false" outlineLevel="0" collapsed="false">
      <c r="A90" s="10" t="n">
        <v>88</v>
      </c>
      <c r="B90" s="10" t="n">
        <v>4</v>
      </c>
      <c r="C90" s="11" t="s">
        <v>125</v>
      </c>
      <c r="D90" s="12" t="n">
        <v>4</v>
      </c>
      <c r="E90" s="10" t="s">
        <v>71</v>
      </c>
      <c r="F90" s="11"/>
    </row>
    <row r="91" customFormat="false" ht="15" hidden="false" customHeight="false" outlineLevel="0" collapsed="false">
      <c r="A91" s="10" t="n">
        <v>89</v>
      </c>
      <c r="B91" s="10" t="n">
        <v>4</v>
      </c>
      <c r="C91" s="11" t="s">
        <v>92</v>
      </c>
      <c r="D91" s="12" t="n">
        <v>2</v>
      </c>
      <c r="E91" s="10" t="s">
        <v>71</v>
      </c>
      <c r="F91" s="11"/>
    </row>
    <row r="92" customFormat="false" ht="15" hidden="false" customHeight="false" outlineLevel="0" collapsed="false">
      <c r="A92" s="10" t="n">
        <v>90</v>
      </c>
      <c r="B92" s="10" t="n">
        <v>4</v>
      </c>
      <c r="C92" s="11" t="s">
        <v>126</v>
      </c>
      <c r="D92" s="12" t="n">
        <v>4</v>
      </c>
      <c r="E92" s="10" t="s">
        <v>122</v>
      </c>
      <c r="F92" s="11" t="s">
        <v>123</v>
      </c>
    </row>
    <row r="93" customFormat="false" ht="15" hidden="false" customHeight="false" outlineLevel="0" collapsed="false">
      <c r="A93" s="10" t="n">
        <v>91</v>
      </c>
      <c r="B93" s="10" t="n">
        <v>5</v>
      </c>
      <c r="C93" s="11" t="s">
        <v>127</v>
      </c>
      <c r="D93" s="12" t="n">
        <v>14</v>
      </c>
      <c r="E93" s="10" t="s">
        <v>71</v>
      </c>
      <c r="F93" s="11"/>
    </row>
    <row r="94" customFormat="false" ht="15" hidden="false" customHeight="false" outlineLevel="0" collapsed="false">
      <c r="A94" s="10" t="n">
        <v>92</v>
      </c>
      <c r="B94" s="10" t="n">
        <v>5</v>
      </c>
      <c r="C94" s="11" t="s">
        <v>128</v>
      </c>
      <c r="D94" s="12" t="n">
        <v>27</v>
      </c>
      <c r="E94" s="10" t="s">
        <v>71</v>
      </c>
      <c r="F94" s="11"/>
    </row>
    <row r="95" customFormat="false" ht="15" hidden="false" customHeight="false" outlineLevel="0" collapsed="false">
      <c r="A95" s="10" t="n">
        <v>93</v>
      </c>
      <c r="B95" s="10" t="n">
        <v>5</v>
      </c>
      <c r="C95" s="11" t="s">
        <v>129</v>
      </c>
      <c r="D95" s="12" t="n">
        <v>27</v>
      </c>
      <c r="E95" s="10" t="s">
        <v>71</v>
      </c>
      <c r="F95" s="11"/>
    </row>
    <row r="96" customFormat="false" ht="15" hidden="false" customHeight="false" outlineLevel="0" collapsed="false">
      <c r="A96" s="10" t="n">
        <v>94</v>
      </c>
      <c r="B96" s="10" t="n">
        <v>5</v>
      </c>
      <c r="C96" s="11" t="s">
        <v>130</v>
      </c>
      <c r="D96" s="12" t="n">
        <v>20</v>
      </c>
      <c r="E96" s="10" t="s">
        <v>71</v>
      </c>
      <c r="F96" s="11"/>
    </row>
    <row r="97" customFormat="false" ht="15" hidden="false" customHeight="false" outlineLevel="0" collapsed="false">
      <c r="A97" s="10" t="n">
        <v>95</v>
      </c>
      <c r="B97" s="10" t="n">
        <v>5</v>
      </c>
      <c r="C97" s="11" t="s">
        <v>104</v>
      </c>
      <c r="D97" s="12" t="n">
        <v>16</v>
      </c>
      <c r="E97" s="10" t="s">
        <v>122</v>
      </c>
      <c r="F97" s="11" t="s">
        <v>123</v>
      </c>
    </row>
    <row r="98" customFormat="false" ht="15" hidden="false" customHeight="false" outlineLevel="0" collapsed="false">
      <c r="A98" s="10" t="n">
        <v>96</v>
      </c>
      <c r="B98" s="10" t="n">
        <v>5</v>
      </c>
      <c r="C98" s="11" t="s">
        <v>131</v>
      </c>
      <c r="D98" s="12" t="n">
        <v>5</v>
      </c>
      <c r="E98" s="10" t="s">
        <v>122</v>
      </c>
      <c r="F98" s="11" t="s">
        <v>132</v>
      </c>
    </row>
    <row r="99" customFormat="false" ht="15" hidden="false" customHeight="false" outlineLevel="0" collapsed="false">
      <c r="A99" s="10" t="n">
        <v>97</v>
      </c>
      <c r="B99" s="10" t="n">
        <v>5</v>
      </c>
      <c r="C99" s="11" t="s">
        <v>133</v>
      </c>
      <c r="D99" s="12" t="n">
        <v>4</v>
      </c>
      <c r="E99" s="10" t="s">
        <v>71</v>
      </c>
      <c r="F99" s="11"/>
    </row>
    <row r="100" customFormat="false" ht="15" hidden="false" customHeight="false" outlineLevel="0" collapsed="false">
      <c r="A100" s="10" t="n">
        <v>98</v>
      </c>
      <c r="B100" s="10" t="n">
        <v>5</v>
      </c>
      <c r="C100" s="11" t="s">
        <v>97</v>
      </c>
      <c r="D100" s="12" t="n">
        <v>7</v>
      </c>
      <c r="E100" s="10" t="s">
        <v>71</v>
      </c>
      <c r="F100" s="11"/>
    </row>
    <row r="101" customFormat="false" ht="15" hidden="false" customHeight="false" outlineLevel="0" collapsed="false">
      <c r="A101" s="10" t="n">
        <v>99</v>
      </c>
      <c r="B101" s="10" t="n">
        <v>5</v>
      </c>
      <c r="C101" s="11" t="s">
        <v>134</v>
      </c>
      <c r="D101" s="12" t="n">
        <v>23</v>
      </c>
      <c r="E101" s="10" t="s">
        <v>71</v>
      </c>
      <c r="F101" s="11" t="s">
        <v>135</v>
      </c>
    </row>
    <row r="102" customFormat="false" ht="15" hidden="false" customHeight="false" outlineLevel="0" collapsed="false">
      <c r="A102" s="10" t="n">
        <v>100</v>
      </c>
      <c r="B102" s="10" t="n">
        <v>5</v>
      </c>
      <c r="C102" s="11" t="s">
        <v>136</v>
      </c>
      <c r="D102" s="12" t="n">
        <v>0</v>
      </c>
      <c r="E102" s="10" t="s">
        <v>122</v>
      </c>
      <c r="F102" s="11" t="s">
        <v>119</v>
      </c>
    </row>
    <row r="103" customFormat="false" ht="15" hidden="false" customHeight="false" outlineLevel="0" collapsed="false">
      <c r="A103" s="10" t="n">
        <v>101</v>
      </c>
      <c r="B103" s="10" t="n">
        <v>5</v>
      </c>
      <c r="C103" s="11" t="s">
        <v>137</v>
      </c>
      <c r="D103" s="12" t="n">
        <v>0</v>
      </c>
      <c r="E103" s="10" t="s">
        <v>122</v>
      </c>
      <c r="F103" s="11" t="s">
        <v>119</v>
      </c>
    </row>
    <row r="104" customFormat="false" ht="15" hidden="false" customHeight="false" outlineLevel="0" collapsed="false">
      <c r="A104" s="10" t="n">
        <v>102</v>
      </c>
      <c r="B104" s="10" t="n">
        <v>5</v>
      </c>
      <c r="C104" s="11" t="s">
        <v>138</v>
      </c>
      <c r="D104" s="12" t="n">
        <v>0</v>
      </c>
      <c r="E104" s="10" t="s">
        <v>72</v>
      </c>
      <c r="F104" s="11" t="s">
        <v>119</v>
      </c>
    </row>
    <row r="105" customFormat="false" ht="15" hidden="false" customHeight="false" outlineLevel="0" collapsed="false">
      <c r="A105" s="10" t="n">
        <v>103</v>
      </c>
      <c r="B105" s="10" t="n">
        <v>5</v>
      </c>
      <c r="C105" s="11" t="s">
        <v>139</v>
      </c>
      <c r="D105" s="12" t="n">
        <v>8</v>
      </c>
      <c r="E105" s="10" t="s">
        <v>122</v>
      </c>
      <c r="F105" s="11" t="s">
        <v>140</v>
      </c>
    </row>
    <row r="106" customFormat="false" ht="15" hidden="false" customHeight="false" outlineLevel="0" collapsed="false">
      <c r="A106" s="10" t="n">
        <v>104</v>
      </c>
      <c r="B106" s="10" t="n">
        <v>5</v>
      </c>
      <c r="C106" s="11" t="s">
        <v>141</v>
      </c>
      <c r="D106" s="12" t="n">
        <v>7</v>
      </c>
      <c r="E106" s="10" t="s">
        <v>71</v>
      </c>
      <c r="F106" s="11"/>
    </row>
    <row r="107" customFormat="false" ht="15" hidden="false" customHeight="false" outlineLevel="0" collapsed="false">
      <c r="A107" s="10" t="n">
        <v>105</v>
      </c>
      <c r="B107" s="10" t="n">
        <v>5</v>
      </c>
      <c r="C107" s="11" t="s">
        <v>125</v>
      </c>
      <c r="D107" s="12" t="n">
        <v>7</v>
      </c>
      <c r="E107" s="10" t="s">
        <v>71</v>
      </c>
      <c r="F107" s="11"/>
    </row>
    <row r="108" customFormat="false" ht="15" hidden="false" customHeight="false" outlineLevel="0" collapsed="false">
      <c r="A108" s="10" t="n">
        <v>106</v>
      </c>
      <c r="B108" s="10" t="n">
        <v>5</v>
      </c>
      <c r="C108" s="11" t="s">
        <v>142</v>
      </c>
      <c r="D108" s="12" t="n">
        <v>7</v>
      </c>
      <c r="E108" s="10" t="s">
        <v>71</v>
      </c>
      <c r="F108" s="11"/>
    </row>
    <row r="109" customFormat="false" ht="15" hidden="false" customHeight="false" outlineLevel="0" collapsed="false">
      <c r="A109" s="10" t="n">
        <v>107</v>
      </c>
      <c r="B109" s="10" t="n">
        <v>5</v>
      </c>
      <c r="C109" s="11" t="s">
        <v>143</v>
      </c>
      <c r="D109" s="12" t="n">
        <v>8</v>
      </c>
      <c r="E109" s="10" t="s">
        <v>122</v>
      </c>
      <c r="F109" s="11" t="s">
        <v>144</v>
      </c>
    </row>
    <row r="110" customFormat="false" ht="15" hidden="false" customHeight="false" outlineLevel="0" collapsed="false">
      <c r="A110" s="10" t="n">
        <v>108</v>
      </c>
      <c r="B110" s="10" t="n">
        <v>5</v>
      </c>
      <c r="C110" s="11" t="s">
        <v>145</v>
      </c>
      <c r="D110" s="12" t="n">
        <v>28</v>
      </c>
      <c r="E110" s="10" t="s">
        <v>122</v>
      </c>
      <c r="F110" s="11" t="s">
        <v>146</v>
      </c>
    </row>
    <row r="111" customFormat="false" ht="15" hidden="false" customHeight="false" outlineLevel="0" collapsed="false">
      <c r="A111" s="10" t="n">
        <v>109</v>
      </c>
      <c r="B111" s="10" t="n">
        <v>5</v>
      </c>
      <c r="C111" s="11" t="s">
        <v>147</v>
      </c>
      <c r="D111" s="12" t="n">
        <v>5</v>
      </c>
      <c r="E111" s="10" t="s">
        <v>122</v>
      </c>
      <c r="F111" s="11" t="s">
        <v>144</v>
      </c>
    </row>
    <row r="112" customFormat="false" ht="15" hidden="false" customHeight="false" outlineLevel="0" collapsed="false">
      <c r="A112" s="10" t="n">
        <v>110</v>
      </c>
      <c r="B112" s="10" t="n">
        <v>5</v>
      </c>
      <c r="C112" s="11" t="s">
        <v>148</v>
      </c>
      <c r="D112" s="12" t="n">
        <v>25.5</v>
      </c>
      <c r="E112" s="10" t="s">
        <v>72</v>
      </c>
      <c r="F112" s="11" t="s">
        <v>149</v>
      </c>
    </row>
    <row r="113" customFormat="false" ht="15" hidden="false" customHeight="false" outlineLevel="0" collapsed="false">
      <c r="A113" s="10" t="n">
        <v>111</v>
      </c>
      <c r="B113" s="10" t="n">
        <v>6</v>
      </c>
      <c r="C113" s="11" t="s">
        <v>150</v>
      </c>
      <c r="D113" s="12" t="n">
        <v>33</v>
      </c>
      <c r="E113" s="10" t="s">
        <v>72</v>
      </c>
      <c r="F113" s="11"/>
    </row>
    <row r="114" customFormat="false" ht="15" hidden="false" customHeight="false" outlineLevel="0" collapsed="false">
      <c r="A114" s="10" t="n">
        <v>112</v>
      </c>
      <c r="B114" s="10" t="n">
        <v>6</v>
      </c>
      <c r="C114" s="11" t="s">
        <v>142</v>
      </c>
      <c r="D114" s="12" t="n">
        <v>14</v>
      </c>
      <c r="E114" s="10" t="s">
        <v>122</v>
      </c>
      <c r="F114" s="11" t="s">
        <v>123</v>
      </c>
    </row>
    <row r="115" customFormat="false" ht="15" hidden="false" customHeight="false" outlineLevel="0" collapsed="false">
      <c r="A115" s="10" t="n">
        <v>113</v>
      </c>
      <c r="B115" s="10" t="n">
        <v>6</v>
      </c>
      <c r="C115" s="11" t="s">
        <v>151</v>
      </c>
      <c r="D115" s="12" t="n">
        <v>-5</v>
      </c>
      <c r="E115" s="10" t="s">
        <v>122</v>
      </c>
      <c r="F115" s="11" t="s">
        <v>152</v>
      </c>
    </row>
    <row r="116" customFormat="false" ht="15" hidden="false" customHeight="false" outlineLevel="0" collapsed="false">
      <c r="A116" s="10" t="n">
        <v>114</v>
      </c>
      <c r="B116" s="10" t="n">
        <v>6</v>
      </c>
      <c r="C116" s="11" t="s">
        <v>153</v>
      </c>
      <c r="D116" s="12" t="n">
        <v>5</v>
      </c>
      <c r="E116" s="10" t="s">
        <v>72</v>
      </c>
      <c r="F116" s="11"/>
    </row>
    <row r="117" customFormat="false" ht="15" hidden="false" customHeight="false" outlineLevel="0" collapsed="false">
      <c r="A117" s="10" t="n">
        <v>115</v>
      </c>
      <c r="B117" s="10" t="n">
        <v>6</v>
      </c>
      <c r="C117" s="11" t="s">
        <v>154</v>
      </c>
      <c r="D117" s="12" t="n">
        <v>4</v>
      </c>
      <c r="E117" s="10" t="s">
        <v>71</v>
      </c>
      <c r="F117" s="11"/>
    </row>
    <row r="118" customFormat="false" ht="15" hidden="false" customHeight="false" outlineLevel="0" collapsed="false">
      <c r="A118" s="10" t="n">
        <v>116</v>
      </c>
      <c r="B118" s="10" t="n">
        <v>6</v>
      </c>
      <c r="C118" s="11" t="s">
        <v>155</v>
      </c>
      <c r="D118" s="12" t="n">
        <v>3</v>
      </c>
      <c r="E118" s="10" t="s">
        <v>71</v>
      </c>
      <c r="F118" s="11"/>
    </row>
    <row r="119" customFormat="false" ht="15" hidden="false" customHeight="false" outlineLevel="0" collapsed="false">
      <c r="A119" s="10" t="n">
        <v>117</v>
      </c>
      <c r="B119" s="10" t="n">
        <v>6</v>
      </c>
      <c r="C119" s="11" t="s">
        <v>105</v>
      </c>
      <c r="D119" s="12" t="n">
        <v>14</v>
      </c>
      <c r="E119" s="10" t="s">
        <v>72</v>
      </c>
      <c r="F119" s="11"/>
    </row>
    <row r="120" customFormat="false" ht="15" hidden="false" customHeight="false" outlineLevel="0" collapsed="false">
      <c r="A120" s="10" t="n">
        <v>118</v>
      </c>
      <c r="B120" s="10" t="n">
        <v>6</v>
      </c>
      <c r="C120" s="11" t="s">
        <v>156</v>
      </c>
      <c r="D120" s="12" t="n">
        <v>14</v>
      </c>
      <c r="E120" s="10" t="s">
        <v>71</v>
      </c>
      <c r="F120" s="11"/>
    </row>
    <row r="121" customFormat="false" ht="15" hidden="false" customHeight="false" outlineLevel="0" collapsed="false">
      <c r="A121" s="10" t="n">
        <v>119</v>
      </c>
      <c r="B121" s="10" t="n">
        <v>6</v>
      </c>
      <c r="C121" s="11" t="s">
        <v>105</v>
      </c>
      <c r="D121" s="12" t="n">
        <v>14</v>
      </c>
      <c r="E121" s="10" t="s">
        <v>72</v>
      </c>
      <c r="F121" s="11"/>
    </row>
    <row r="122" customFormat="false" ht="15" hidden="false" customHeight="false" outlineLevel="0" collapsed="false">
      <c r="A122" s="10" t="n">
        <v>120</v>
      </c>
      <c r="B122" s="10" t="n">
        <v>6</v>
      </c>
      <c r="C122" s="11" t="s">
        <v>157</v>
      </c>
      <c r="D122" s="12" t="n">
        <v>20</v>
      </c>
      <c r="E122" s="10" t="s">
        <v>71</v>
      </c>
      <c r="F122" s="11" t="s">
        <v>158</v>
      </c>
    </row>
    <row r="123" customFormat="false" ht="15" hidden="false" customHeight="false" outlineLevel="0" collapsed="false">
      <c r="A123" s="10" t="n">
        <v>121</v>
      </c>
      <c r="B123" s="10" t="n">
        <v>6</v>
      </c>
      <c r="C123" s="11" t="s">
        <v>159</v>
      </c>
      <c r="D123" s="12" t="n">
        <v>12</v>
      </c>
      <c r="E123" s="10" t="s">
        <v>71</v>
      </c>
      <c r="F123" s="11"/>
    </row>
    <row r="124" customFormat="false" ht="15" hidden="false" customHeight="false" outlineLevel="0" collapsed="false">
      <c r="A124" s="10" t="n">
        <v>122</v>
      </c>
      <c r="B124" s="10" t="n">
        <v>6</v>
      </c>
      <c r="C124" s="11" t="s">
        <v>160</v>
      </c>
      <c r="D124" s="12" t="n">
        <v>4</v>
      </c>
      <c r="E124" s="10" t="s">
        <v>72</v>
      </c>
      <c r="F124" s="11"/>
    </row>
    <row r="125" customFormat="false" ht="15" hidden="false" customHeight="false" outlineLevel="0" collapsed="false">
      <c r="A125" s="10" t="n">
        <v>123</v>
      </c>
      <c r="B125" s="10" t="n">
        <v>6</v>
      </c>
      <c r="C125" s="11" t="s">
        <v>161</v>
      </c>
      <c r="D125" s="12" t="n">
        <v>9</v>
      </c>
      <c r="E125" s="10" t="s">
        <v>71</v>
      </c>
      <c r="F125" s="11"/>
    </row>
    <row r="126" customFormat="false" ht="15" hidden="false" customHeight="false" outlineLevel="0" collapsed="false">
      <c r="A126" s="10" t="n">
        <v>124</v>
      </c>
      <c r="B126" s="10" t="n">
        <v>6</v>
      </c>
      <c r="C126" s="11" t="s">
        <v>162</v>
      </c>
      <c r="D126" s="12" t="n">
        <v>29</v>
      </c>
      <c r="E126" s="10" t="s">
        <v>122</v>
      </c>
      <c r="F126" s="11" t="s">
        <v>163</v>
      </c>
    </row>
    <row r="127" customFormat="false" ht="15" hidden="false" customHeight="false" outlineLevel="0" collapsed="false">
      <c r="A127" s="10" t="n">
        <v>125</v>
      </c>
      <c r="B127" s="10" t="n">
        <v>6</v>
      </c>
      <c r="C127" s="11" t="s">
        <v>164</v>
      </c>
      <c r="D127" s="12" t="n">
        <v>57</v>
      </c>
      <c r="E127" s="10" t="s">
        <v>72</v>
      </c>
      <c r="F127" s="11"/>
    </row>
    <row r="128" customFormat="false" ht="15" hidden="false" customHeight="false" outlineLevel="0" collapsed="false">
      <c r="A128" s="10" t="n">
        <v>126</v>
      </c>
      <c r="B128" s="10" t="n">
        <v>6</v>
      </c>
      <c r="C128" s="11" t="s">
        <v>92</v>
      </c>
      <c r="D128" s="12" t="n">
        <v>4</v>
      </c>
      <c r="E128" s="10" t="s">
        <v>71</v>
      </c>
      <c r="F128" s="11"/>
    </row>
    <row r="129" customFormat="false" ht="15" hidden="false" customHeight="false" outlineLevel="0" collapsed="false">
      <c r="A129" s="10" t="n">
        <v>127</v>
      </c>
      <c r="B129" s="10" t="n">
        <v>7</v>
      </c>
      <c r="C129" s="11" t="s">
        <v>84</v>
      </c>
      <c r="D129" s="12" t="n">
        <v>8</v>
      </c>
      <c r="E129" s="10" t="s">
        <v>122</v>
      </c>
      <c r="F129" s="11" t="s">
        <v>165</v>
      </c>
    </row>
    <row r="130" customFormat="false" ht="15" hidden="false" customHeight="false" outlineLevel="0" collapsed="false">
      <c r="A130" s="10" t="n">
        <v>128</v>
      </c>
      <c r="B130" s="10" t="n">
        <v>7</v>
      </c>
      <c r="C130" s="11" t="s">
        <v>166</v>
      </c>
      <c r="D130" s="12" t="n">
        <v>0</v>
      </c>
      <c r="E130" s="10" t="s">
        <v>122</v>
      </c>
      <c r="F130" s="11" t="s">
        <v>167</v>
      </c>
    </row>
    <row r="131" customFormat="false" ht="15" hidden="false" customHeight="false" outlineLevel="0" collapsed="false">
      <c r="A131" s="10" t="n">
        <v>129</v>
      </c>
      <c r="B131" s="10" t="n">
        <v>7</v>
      </c>
      <c r="C131" s="11" t="s">
        <v>168</v>
      </c>
      <c r="D131" s="12" t="n">
        <v>14</v>
      </c>
      <c r="E131" s="10" t="s">
        <v>72</v>
      </c>
      <c r="F131" s="11"/>
    </row>
    <row r="132" customFormat="false" ht="15" hidden="false" customHeight="false" outlineLevel="0" collapsed="false">
      <c r="A132" s="10" t="n">
        <v>130</v>
      </c>
      <c r="B132" s="10" t="n">
        <v>7</v>
      </c>
      <c r="C132" s="11" t="s">
        <v>169</v>
      </c>
      <c r="D132" s="12" t="n">
        <v>18</v>
      </c>
      <c r="E132" s="10" t="s">
        <v>72</v>
      </c>
      <c r="F132" s="11"/>
    </row>
    <row r="133" customFormat="false" ht="15" hidden="false" customHeight="false" outlineLevel="0" collapsed="false">
      <c r="A133" s="10" t="n">
        <v>131</v>
      </c>
      <c r="B133" s="10" t="n">
        <v>7</v>
      </c>
      <c r="C133" s="11" t="s">
        <v>80</v>
      </c>
      <c r="D133" s="12" t="n">
        <v>12</v>
      </c>
      <c r="E133" s="10" t="s">
        <v>122</v>
      </c>
      <c r="F133" s="11" t="s">
        <v>123</v>
      </c>
    </row>
    <row r="134" customFormat="false" ht="15" hidden="false" customHeight="false" outlineLevel="0" collapsed="false">
      <c r="A134" s="10" t="n">
        <v>132</v>
      </c>
      <c r="B134" s="10" t="n">
        <v>7</v>
      </c>
      <c r="C134" s="11" t="s">
        <v>97</v>
      </c>
      <c r="D134" s="12" t="n">
        <v>7</v>
      </c>
      <c r="E134" s="10" t="s">
        <v>72</v>
      </c>
      <c r="F134" s="11"/>
    </row>
    <row r="135" customFormat="false" ht="15" hidden="false" customHeight="false" outlineLevel="0" collapsed="false">
      <c r="A135" s="10" t="n">
        <v>133</v>
      </c>
      <c r="B135" s="10" t="n">
        <v>7</v>
      </c>
      <c r="C135" s="11" t="s">
        <v>170</v>
      </c>
      <c r="D135" s="12" t="n">
        <v>12</v>
      </c>
      <c r="E135" s="10" t="s">
        <v>71</v>
      </c>
      <c r="F135" s="11"/>
    </row>
    <row r="136" customFormat="false" ht="15" hidden="false" customHeight="false" outlineLevel="0" collapsed="false">
      <c r="A136" s="10" t="n">
        <v>134</v>
      </c>
      <c r="B136" s="10" t="n">
        <v>7</v>
      </c>
      <c r="C136" s="11" t="s">
        <v>171</v>
      </c>
      <c r="D136" s="12" t="n">
        <v>22</v>
      </c>
      <c r="E136" s="10" t="s">
        <v>71</v>
      </c>
      <c r="F136" s="11"/>
    </row>
    <row r="137" customFormat="false" ht="15" hidden="false" customHeight="false" outlineLevel="0" collapsed="false">
      <c r="A137" s="10" t="n">
        <v>135</v>
      </c>
      <c r="B137" s="10" t="n">
        <v>7</v>
      </c>
      <c r="C137" s="11" t="s">
        <v>99</v>
      </c>
      <c r="D137" s="12" t="n">
        <v>5</v>
      </c>
      <c r="E137" s="10" t="s">
        <v>72</v>
      </c>
      <c r="F137" s="11"/>
    </row>
    <row r="138" customFormat="false" ht="15" hidden="false" customHeight="false" outlineLevel="0" collapsed="false">
      <c r="A138" s="10" t="n">
        <v>136</v>
      </c>
      <c r="B138" s="10" t="n">
        <v>7</v>
      </c>
      <c r="C138" s="11" t="s">
        <v>172</v>
      </c>
      <c r="D138" s="12" t="n">
        <v>29</v>
      </c>
      <c r="E138" s="10" t="s">
        <v>71</v>
      </c>
      <c r="F138" s="11"/>
    </row>
    <row r="139" customFormat="false" ht="15" hidden="false" customHeight="false" outlineLevel="0" collapsed="false">
      <c r="A139" s="10" t="n">
        <v>137</v>
      </c>
      <c r="B139" s="10" t="n">
        <v>7</v>
      </c>
      <c r="C139" s="11" t="s">
        <v>99</v>
      </c>
      <c r="D139" s="12" t="n">
        <v>5</v>
      </c>
      <c r="E139" s="10" t="s">
        <v>71</v>
      </c>
      <c r="F139" s="11"/>
    </row>
    <row r="140" customFormat="false" ht="15" hidden="false" customHeight="false" outlineLevel="0" collapsed="false">
      <c r="A140" s="10" t="n">
        <v>138</v>
      </c>
      <c r="B140" s="10" t="n">
        <v>7</v>
      </c>
      <c r="C140" s="11" t="s">
        <v>173</v>
      </c>
      <c r="D140" s="12" t="n">
        <v>20</v>
      </c>
      <c r="E140" s="10" t="s">
        <v>72</v>
      </c>
      <c r="F140" s="11"/>
    </row>
    <row r="141" customFormat="false" ht="15" hidden="false" customHeight="false" outlineLevel="0" collapsed="false">
      <c r="A141" s="10" t="n">
        <v>139</v>
      </c>
      <c r="B141" s="10" t="n">
        <v>7</v>
      </c>
      <c r="C141" s="11" t="s">
        <v>97</v>
      </c>
      <c r="D141" s="12" t="n">
        <v>4</v>
      </c>
      <c r="E141" s="10" t="s">
        <v>72</v>
      </c>
      <c r="F141" s="11" t="s">
        <v>174</v>
      </c>
    </row>
    <row r="142" customFormat="false" ht="15" hidden="false" customHeight="false" outlineLevel="0" collapsed="false">
      <c r="A142" s="10" t="n">
        <v>140</v>
      </c>
      <c r="B142" s="10" t="n">
        <v>7</v>
      </c>
      <c r="C142" s="11" t="s">
        <v>97</v>
      </c>
      <c r="D142" s="12" t="n">
        <v>4</v>
      </c>
      <c r="E142" s="10" t="s">
        <v>72</v>
      </c>
      <c r="F142" s="11"/>
    </row>
    <row r="143" customFormat="false" ht="15" hidden="false" customHeight="false" outlineLevel="0" collapsed="false">
      <c r="A143" s="10" t="n">
        <v>141</v>
      </c>
      <c r="B143" s="10" t="n">
        <v>7</v>
      </c>
      <c r="C143" s="11" t="s">
        <v>124</v>
      </c>
      <c r="D143" s="12" t="n">
        <v>10</v>
      </c>
      <c r="E143" s="10" t="s">
        <v>72</v>
      </c>
      <c r="F143" s="11"/>
    </row>
    <row r="144" customFormat="false" ht="15" hidden="false" customHeight="false" outlineLevel="0" collapsed="false">
      <c r="A144" s="10" t="n">
        <v>142</v>
      </c>
      <c r="B144" s="10" t="n">
        <v>7</v>
      </c>
      <c r="C144" s="11" t="s">
        <v>175</v>
      </c>
      <c r="D144" s="12" t="n">
        <v>14</v>
      </c>
      <c r="E144" s="10" t="s">
        <v>72</v>
      </c>
      <c r="F144" s="11"/>
    </row>
    <row r="145" customFormat="false" ht="15" hidden="false" customHeight="false" outlineLevel="0" collapsed="false">
      <c r="A145" s="10" t="n">
        <v>143</v>
      </c>
      <c r="B145" s="10" t="n">
        <v>7</v>
      </c>
      <c r="C145" s="11" t="s">
        <v>173</v>
      </c>
      <c r="D145" s="12" t="n">
        <v>20</v>
      </c>
      <c r="E145" s="10" t="s">
        <v>74</v>
      </c>
      <c r="F145" s="11"/>
    </row>
    <row r="146" customFormat="false" ht="15" hidden="false" customHeight="false" outlineLevel="0" collapsed="false">
      <c r="A146" s="10" t="n">
        <v>144</v>
      </c>
      <c r="B146" s="10" t="n">
        <v>7</v>
      </c>
      <c r="C146" s="11" t="s">
        <v>176</v>
      </c>
      <c r="D146" s="12" t="n">
        <v>20</v>
      </c>
      <c r="E146" s="10" t="s">
        <v>122</v>
      </c>
      <c r="F146" s="11" t="s">
        <v>144</v>
      </c>
    </row>
    <row r="147" customFormat="false" ht="15" hidden="false" customHeight="false" outlineLevel="0" collapsed="false">
      <c r="A147" s="10" t="n">
        <v>145</v>
      </c>
      <c r="B147" s="10" t="n">
        <v>7</v>
      </c>
      <c r="C147" s="11" t="s">
        <v>177</v>
      </c>
      <c r="D147" s="12" t="n">
        <v>5</v>
      </c>
      <c r="E147" s="10" t="s">
        <v>72</v>
      </c>
      <c r="F147" s="11"/>
    </row>
    <row r="148" customFormat="false" ht="15" hidden="false" customHeight="false" outlineLevel="0" collapsed="false">
      <c r="A148" s="10" t="n">
        <v>146</v>
      </c>
      <c r="B148" s="10" t="n">
        <v>7</v>
      </c>
      <c r="C148" s="11" t="s">
        <v>178</v>
      </c>
      <c r="D148" s="12" t="n">
        <v>5</v>
      </c>
      <c r="E148" s="10" t="s">
        <v>72</v>
      </c>
      <c r="F148" s="11"/>
    </row>
    <row r="149" customFormat="false" ht="15" hidden="false" customHeight="false" outlineLevel="0" collapsed="false">
      <c r="A149" s="10" t="n">
        <v>147</v>
      </c>
      <c r="B149" s="10" t="n">
        <v>7</v>
      </c>
      <c r="C149" s="11" t="s">
        <v>179</v>
      </c>
      <c r="D149" s="12" t="n">
        <v>18</v>
      </c>
      <c r="E149" s="10" t="s">
        <v>122</v>
      </c>
      <c r="F149" s="11" t="s">
        <v>144</v>
      </c>
    </row>
    <row r="150" customFormat="false" ht="15" hidden="false" customHeight="false" outlineLevel="0" collapsed="false">
      <c r="A150" s="10" t="n">
        <v>148</v>
      </c>
      <c r="B150" s="10" t="n">
        <v>7</v>
      </c>
      <c r="C150" s="11" t="s">
        <v>180</v>
      </c>
      <c r="D150" s="12" t="n">
        <v>8</v>
      </c>
      <c r="E150" s="10" t="s">
        <v>122</v>
      </c>
      <c r="F150" s="11" t="s">
        <v>181</v>
      </c>
    </row>
    <row r="151" customFormat="false" ht="15" hidden="false" customHeight="false" outlineLevel="0" collapsed="false">
      <c r="A151" s="10" t="n">
        <v>149</v>
      </c>
      <c r="B151" s="10" t="n">
        <v>7</v>
      </c>
      <c r="C151" s="11" t="s">
        <v>182</v>
      </c>
      <c r="D151" s="12" t="n">
        <v>31</v>
      </c>
      <c r="E151" s="10" t="s">
        <v>122</v>
      </c>
      <c r="F151" s="11" t="s">
        <v>183</v>
      </c>
    </row>
    <row r="152" customFormat="false" ht="15" hidden="false" customHeight="false" outlineLevel="0" collapsed="false">
      <c r="A152" s="10" t="n">
        <v>150</v>
      </c>
      <c r="B152" s="10" t="n">
        <v>7</v>
      </c>
      <c r="C152" s="11" t="s">
        <v>184</v>
      </c>
      <c r="D152" s="12" t="n">
        <v>10</v>
      </c>
      <c r="E152" s="10" t="s">
        <v>71</v>
      </c>
      <c r="F152" s="11"/>
    </row>
    <row r="153" customFormat="false" ht="15" hidden="false" customHeight="false" outlineLevel="0" collapsed="false">
      <c r="A153" s="10" t="n">
        <v>151</v>
      </c>
      <c r="B153" s="10" t="n">
        <v>7</v>
      </c>
      <c r="C153" s="11" t="s">
        <v>171</v>
      </c>
      <c r="D153" s="12" t="n">
        <v>22</v>
      </c>
      <c r="E153" s="10" t="s">
        <v>71</v>
      </c>
      <c r="F153" s="11"/>
    </row>
    <row r="154" customFormat="false" ht="15" hidden="false" customHeight="false" outlineLevel="0" collapsed="false">
      <c r="A154" s="10" t="n">
        <v>152</v>
      </c>
      <c r="B154" s="10" t="n">
        <v>7</v>
      </c>
      <c r="C154" s="11" t="s">
        <v>99</v>
      </c>
      <c r="D154" s="12" t="n">
        <v>0</v>
      </c>
      <c r="E154" s="10" t="s">
        <v>72</v>
      </c>
      <c r="F154" s="11" t="s">
        <v>119</v>
      </c>
    </row>
    <row r="155" customFormat="false" ht="15" hidden="false" customHeight="false" outlineLevel="0" collapsed="false">
      <c r="A155" s="10" t="n">
        <v>153</v>
      </c>
      <c r="B155" s="10" t="n">
        <v>7</v>
      </c>
      <c r="C155" s="11" t="s">
        <v>185</v>
      </c>
      <c r="D155" s="12" t="n">
        <v>14</v>
      </c>
      <c r="E155" s="10" t="s">
        <v>122</v>
      </c>
      <c r="F155" s="11" t="s">
        <v>186</v>
      </c>
    </row>
    <row r="156" customFormat="false" ht="15" hidden="false" customHeight="false" outlineLevel="0" collapsed="false">
      <c r="A156" s="10" t="n">
        <v>154</v>
      </c>
      <c r="B156" s="10" t="n">
        <v>7</v>
      </c>
      <c r="C156" s="11" t="s">
        <v>187</v>
      </c>
      <c r="D156" s="12" t="n">
        <v>30</v>
      </c>
      <c r="E156" s="10" t="s">
        <v>71</v>
      </c>
      <c r="F156" s="11"/>
    </row>
    <row r="157" customFormat="false" ht="15" hidden="false" customHeight="false" outlineLevel="0" collapsed="false">
      <c r="A157" s="10" t="n">
        <v>155</v>
      </c>
      <c r="B157" s="10" t="n">
        <v>9</v>
      </c>
      <c r="C157" s="11" t="s">
        <v>188</v>
      </c>
      <c r="D157" s="12" t="n">
        <v>53</v>
      </c>
      <c r="E157" s="10" t="s">
        <v>71</v>
      </c>
      <c r="F157" s="11"/>
    </row>
    <row r="158" customFormat="false" ht="15" hidden="false" customHeight="false" outlineLevel="0" collapsed="false">
      <c r="A158" s="10" t="n">
        <v>156</v>
      </c>
      <c r="B158" s="10" t="n">
        <v>9</v>
      </c>
      <c r="C158" s="11" t="s">
        <v>168</v>
      </c>
      <c r="D158" s="12" t="n">
        <v>12</v>
      </c>
      <c r="E158" s="10" t="s">
        <v>71</v>
      </c>
      <c r="F158" s="11"/>
    </row>
    <row r="159" customFormat="false" ht="15" hidden="false" customHeight="false" outlineLevel="0" collapsed="false">
      <c r="A159" s="10" t="n">
        <v>157</v>
      </c>
      <c r="B159" s="10" t="n">
        <v>9</v>
      </c>
      <c r="C159" s="11" t="s">
        <v>189</v>
      </c>
      <c r="D159" s="12" t="n">
        <v>34</v>
      </c>
      <c r="E159" s="10" t="s">
        <v>71</v>
      </c>
      <c r="F159" s="11"/>
    </row>
    <row r="160" customFormat="false" ht="15" hidden="false" customHeight="false" outlineLevel="0" collapsed="false">
      <c r="A160" s="10" t="n">
        <v>158</v>
      </c>
      <c r="B160" s="10" t="n">
        <v>9</v>
      </c>
      <c r="C160" s="11" t="s">
        <v>190</v>
      </c>
      <c r="D160" s="12" t="n">
        <v>23</v>
      </c>
      <c r="E160" s="10" t="s">
        <v>74</v>
      </c>
      <c r="F160" s="11"/>
    </row>
    <row r="161" customFormat="false" ht="15" hidden="false" customHeight="false" outlineLevel="0" collapsed="false">
      <c r="A161" s="10" t="n">
        <v>159</v>
      </c>
      <c r="B161" s="10" t="n">
        <v>9</v>
      </c>
      <c r="C161" s="11" t="s">
        <v>191</v>
      </c>
      <c r="D161" s="12" t="n">
        <v>15</v>
      </c>
      <c r="E161" s="10" t="s">
        <v>71</v>
      </c>
      <c r="F161" s="11"/>
    </row>
    <row r="162" customFormat="false" ht="15" hidden="false" customHeight="false" outlineLevel="0" collapsed="false">
      <c r="A162" s="10" t="n">
        <v>160</v>
      </c>
      <c r="B162" s="10" t="n">
        <v>9</v>
      </c>
      <c r="C162" s="11" t="s">
        <v>105</v>
      </c>
      <c r="D162" s="12" t="n">
        <v>14</v>
      </c>
      <c r="E162" s="10" t="s">
        <v>71</v>
      </c>
      <c r="F162" s="11"/>
    </row>
    <row r="163" customFormat="false" ht="15" hidden="false" customHeight="false" outlineLevel="0" collapsed="false">
      <c r="A163" s="10" t="n">
        <v>161</v>
      </c>
      <c r="B163" s="10" t="n">
        <v>9</v>
      </c>
      <c r="C163" s="11" t="s">
        <v>168</v>
      </c>
      <c r="D163" s="12" t="n">
        <v>14</v>
      </c>
      <c r="E163" s="10" t="s">
        <v>71</v>
      </c>
      <c r="F163" s="11"/>
    </row>
    <row r="164" customFormat="false" ht="15" hidden="false" customHeight="false" outlineLevel="0" collapsed="false">
      <c r="A164" s="10" t="n">
        <v>162</v>
      </c>
      <c r="B164" s="10" t="n">
        <v>9</v>
      </c>
      <c r="C164" s="11" t="s">
        <v>192</v>
      </c>
      <c r="D164" s="12" t="n">
        <v>6</v>
      </c>
      <c r="E164" s="10" t="s">
        <v>78</v>
      </c>
      <c r="F164" s="11"/>
    </row>
    <row r="165" customFormat="false" ht="15" hidden="false" customHeight="false" outlineLevel="0" collapsed="false">
      <c r="A165" s="10" t="n">
        <v>163</v>
      </c>
      <c r="B165" s="10" t="n">
        <v>9</v>
      </c>
      <c r="C165" s="11" t="s">
        <v>193</v>
      </c>
      <c r="D165" s="12" t="n">
        <v>21</v>
      </c>
      <c r="E165" s="10" t="s">
        <v>71</v>
      </c>
      <c r="F165" s="11"/>
    </row>
    <row r="166" customFormat="false" ht="15" hidden="false" customHeight="false" outlineLevel="0" collapsed="false">
      <c r="A166" s="10" t="n">
        <v>164</v>
      </c>
      <c r="B166" s="10" t="n">
        <v>9</v>
      </c>
      <c r="C166" s="11" t="s">
        <v>194</v>
      </c>
      <c r="D166" s="12" t="n">
        <v>22</v>
      </c>
      <c r="E166" s="10" t="s">
        <v>71</v>
      </c>
      <c r="F166" s="11"/>
    </row>
    <row r="167" customFormat="false" ht="15" hidden="false" customHeight="false" outlineLevel="0" collapsed="false">
      <c r="A167" s="10" t="n">
        <v>165</v>
      </c>
      <c r="B167" s="10" t="n">
        <v>9</v>
      </c>
      <c r="C167" s="11" t="s">
        <v>195</v>
      </c>
      <c r="D167" s="12" t="n">
        <v>39</v>
      </c>
      <c r="E167" s="10" t="s">
        <v>71</v>
      </c>
      <c r="F167" s="11"/>
    </row>
    <row r="168" customFormat="false" ht="15" hidden="false" customHeight="false" outlineLevel="0" collapsed="false">
      <c r="A168" s="10" t="n">
        <v>166</v>
      </c>
      <c r="B168" s="10" t="n">
        <v>9</v>
      </c>
      <c r="C168" s="11" t="s">
        <v>196</v>
      </c>
      <c r="D168" s="12" t="n">
        <v>12</v>
      </c>
      <c r="E168" s="10" t="s">
        <v>71</v>
      </c>
      <c r="F168" s="11"/>
    </row>
    <row r="169" customFormat="false" ht="15" hidden="false" customHeight="false" outlineLevel="0" collapsed="false">
      <c r="A169" s="10" t="n">
        <v>167</v>
      </c>
      <c r="B169" s="10" t="n">
        <v>9</v>
      </c>
      <c r="C169" s="11" t="s">
        <v>160</v>
      </c>
      <c r="D169" s="12" t="n">
        <v>4</v>
      </c>
      <c r="E169" s="10" t="s">
        <v>72</v>
      </c>
      <c r="F169" s="11"/>
    </row>
    <row r="170" customFormat="false" ht="15" hidden="false" customHeight="false" outlineLevel="0" collapsed="false">
      <c r="A170" s="10" t="n">
        <v>168</v>
      </c>
      <c r="B170" s="10" t="n">
        <v>9</v>
      </c>
      <c r="C170" s="11" t="s">
        <v>197</v>
      </c>
      <c r="D170" s="12" t="n">
        <v>22</v>
      </c>
      <c r="E170" s="10" t="s">
        <v>98</v>
      </c>
      <c r="F170" s="11"/>
    </row>
    <row r="171" customFormat="false" ht="15" hidden="false" customHeight="false" outlineLevel="0" collapsed="false">
      <c r="A171" s="10" t="n">
        <v>169</v>
      </c>
      <c r="B171" s="10" t="n">
        <v>10</v>
      </c>
      <c r="C171" s="11" t="s">
        <v>198</v>
      </c>
      <c r="D171" s="12" t="n">
        <v>11</v>
      </c>
      <c r="E171" s="10" t="s">
        <v>74</v>
      </c>
      <c r="F171" s="11"/>
    </row>
    <row r="172" customFormat="false" ht="15" hidden="false" customHeight="false" outlineLevel="0" collapsed="false">
      <c r="A172" s="10" t="n">
        <v>170</v>
      </c>
      <c r="B172" s="10" t="n">
        <v>10</v>
      </c>
      <c r="C172" s="11" t="s">
        <v>199</v>
      </c>
      <c r="D172" s="12" t="n">
        <v>33</v>
      </c>
      <c r="E172" s="10" t="s">
        <v>74</v>
      </c>
      <c r="F172" s="11"/>
    </row>
    <row r="173" customFormat="false" ht="15" hidden="false" customHeight="false" outlineLevel="0" collapsed="false">
      <c r="A173" s="10" t="n">
        <v>171</v>
      </c>
      <c r="B173" s="10" t="n">
        <v>10</v>
      </c>
      <c r="C173" s="11" t="s">
        <v>99</v>
      </c>
      <c r="D173" s="12" t="n">
        <v>5</v>
      </c>
      <c r="E173" s="10" t="s">
        <v>122</v>
      </c>
      <c r="F173" s="11" t="s">
        <v>200</v>
      </c>
    </row>
    <row r="174" customFormat="false" ht="15" hidden="false" customHeight="false" outlineLevel="0" collapsed="false">
      <c r="A174" s="10" t="n">
        <v>172</v>
      </c>
      <c r="B174" s="10" t="n">
        <v>10</v>
      </c>
      <c r="C174" s="11" t="s">
        <v>201</v>
      </c>
      <c r="D174" s="12" t="n">
        <v>10</v>
      </c>
      <c r="E174" s="10" t="s">
        <v>71</v>
      </c>
      <c r="F174" s="11"/>
    </row>
    <row r="175" customFormat="false" ht="15" hidden="false" customHeight="false" outlineLevel="0" collapsed="false">
      <c r="A175" s="10" t="n">
        <v>173</v>
      </c>
      <c r="B175" s="10" t="n">
        <v>10</v>
      </c>
      <c r="C175" s="11" t="s">
        <v>118</v>
      </c>
      <c r="D175" s="12" t="n">
        <v>21</v>
      </c>
      <c r="E175" s="10" t="s">
        <v>71</v>
      </c>
      <c r="F175" s="11"/>
    </row>
    <row r="176" customFormat="false" ht="15" hidden="false" customHeight="false" outlineLevel="0" collapsed="false">
      <c r="A176" s="10" t="n">
        <v>174</v>
      </c>
      <c r="B176" s="10" t="n">
        <v>10</v>
      </c>
      <c r="C176" s="11" t="s">
        <v>202</v>
      </c>
      <c r="D176" s="12" t="n">
        <v>39</v>
      </c>
      <c r="E176" s="10" t="s">
        <v>122</v>
      </c>
      <c r="F176" s="11" t="s">
        <v>200</v>
      </c>
    </row>
    <row r="177" customFormat="false" ht="15" hidden="false" customHeight="false" outlineLevel="0" collapsed="false">
      <c r="A177" s="10" t="n">
        <v>175</v>
      </c>
      <c r="B177" s="10" t="n">
        <v>10</v>
      </c>
      <c r="C177" s="11" t="s">
        <v>203</v>
      </c>
      <c r="D177" s="12" t="n">
        <v>7</v>
      </c>
      <c r="E177" s="10" t="s">
        <v>122</v>
      </c>
      <c r="F177" s="11" t="s">
        <v>204</v>
      </c>
    </row>
    <row r="178" customFormat="false" ht="15" hidden="false" customHeight="false" outlineLevel="0" collapsed="false">
      <c r="A178" s="10" t="n">
        <v>176</v>
      </c>
      <c r="B178" s="10" t="n">
        <v>10</v>
      </c>
      <c r="C178" s="11" t="s">
        <v>205</v>
      </c>
      <c r="D178" s="12" t="n">
        <v>26</v>
      </c>
      <c r="E178" s="10" t="s">
        <v>122</v>
      </c>
      <c r="F178" s="11" t="s">
        <v>206</v>
      </c>
    </row>
    <row r="179" customFormat="false" ht="15" hidden="false" customHeight="false" outlineLevel="0" collapsed="false">
      <c r="A179" s="10" t="n">
        <v>177</v>
      </c>
      <c r="B179" s="10" t="n">
        <v>10</v>
      </c>
      <c r="C179" s="11" t="s">
        <v>153</v>
      </c>
      <c r="D179" s="12" t="n">
        <v>0</v>
      </c>
      <c r="E179" s="10" t="s">
        <v>122</v>
      </c>
      <c r="F179" s="11" t="s">
        <v>119</v>
      </c>
    </row>
    <row r="180" customFormat="false" ht="15" hidden="false" customHeight="false" outlineLevel="0" collapsed="false">
      <c r="A180" s="10" t="n">
        <v>178</v>
      </c>
      <c r="B180" s="10" t="n">
        <v>10</v>
      </c>
      <c r="C180" s="11" t="s">
        <v>80</v>
      </c>
      <c r="D180" s="12" t="n">
        <v>12</v>
      </c>
      <c r="E180" s="10" t="s">
        <v>71</v>
      </c>
      <c r="F180" s="11"/>
    </row>
    <row r="181" customFormat="false" ht="15" hidden="false" customHeight="false" outlineLevel="0" collapsed="false">
      <c r="A181" s="10" t="n">
        <v>179</v>
      </c>
      <c r="B181" s="10" t="n">
        <v>10</v>
      </c>
      <c r="C181" s="11" t="s">
        <v>92</v>
      </c>
      <c r="D181" s="12" t="n">
        <v>4</v>
      </c>
      <c r="E181" s="10" t="s">
        <v>122</v>
      </c>
      <c r="F181" s="11" t="s">
        <v>200</v>
      </c>
    </row>
    <row r="182" customFormat="false" ht="15" hidden="false" customHeight="false" outlineLevel="0" collapsed="false">
      <c r="A182" s="10" t="n">
        <v>180</v>
      </c>
      <c r="B182" s="10" t="n">
        <v>10</v>
      </c>
      <c r="C182" s="11" t="s">
        <v>92</v>
      </c>
      <c r="D182" s="12" t="n">
        <v>4</v>
      </c>
      <c r="E182" s="10" t="s">
        <v>122</v>
      </c>
      <c r="F182" s="11" t="s">
        <v>200</v>
      </c>
    </row>
    <row r="183" customFormat="false" ht="15" hidden="false" customHeight="false" outlineLevel="0" collapsed="false">
      <c r="A183" s="10" t="n">
        <v>181</v>
      </c>
      <c r="B183" s="10" t="n">
        <v>10</v>
      </c>
      <c r="C183" s="11" t="s">
        <v>207</v>
      </c>
      <c r="D183" s="12" t="n">
        <v>28</v>
      </c>
      <c r="E183" s="10" t="s">
        <v>122</v>
      </c>
      <c r="F183" s="11" t="s">
        <v>200</v>
      </c>
    </row>
    <row r="184" customFormat="false" ht="15" hidden="false" customHeight="false" outlineLevel="0" collapsed="false">
      <c r="A184" s="10" t="n">
        <v>182</v>
      </c>
      <c r="B184" s="10" t="n">
        <v>10</v>
      </c>
      <c r="C184" s="11" t="s">
        <v>208</v>
      </c>
      <c r="D184" s="12" t="n">
        <v>16</v>
      </c>
      <c r="E184" s="10" t="s">
        <v>71</v>
      </c>
      <c r="F184" s="11"/>
    </row>
    <row r="185" customFormat="false" ht="15" hidden="false" customHeight="false" outlineLevel="0" collapsed="false">
      <c r="A185" s="10" t="n">
        <v>183</v>
      </c>
      <c r="B185" s="10" t="n">
        <v>10</v>
      </c>
      <c r="C185" s="11" t="s">
        <v>161</v>
      </c>
      <c r="D185" s="12" t="n">
        <v>9</v>
      </c>
      <c r="E185" s="10" t="s">
        <v>122</v>
      </c>
      <c r="F185" s="11" t="s">
        <v>200</v>
      </c>
    </row>
    <row r="186" customFormat="false" ht="15" hidden="false" customHeight="false" outlineLevel="0" collapsed="false">
      <c r="A186" s="10" t="n">
        <v>184</v>
      </c>
      <c r="B186" s="10" t="n">
        <v>10</v>
      </c>
      <c r="C186" s="11" t="s">
        <v>209</v>
      </c>
      <c r="D186" s="12" t="n">
        <v>12</v>
      </c>
      <c r="E186" s="10" t="s">
        <v>74</v>
      </c>
      <c r="F186" s="11"/>
    </row>
    <row r="187" customFormat="false" ht="15" hidden="false" customHeight="false" outlineLevel="0" collapsed="false">
      <c r="A187" s="10" t="n">
        <v>185</v>
      </c>
      <c r="B187" s="10" t="n">
        <v>10</v>
      </c>
      <c r="C187" s="11" t="s">
        <v>210</v>
      </c>
      <c r="D187" s="12" t="n">
        <v>16</v>
      </c>
      <c r="E187" s="10" t="s">
        <v>122</v>
      </c>
      <c r="F187" s="11" t="s">
        <v>200</v>
      </c>
    </row>
    <row r="188" customFormat="false" ht="15" hidden="false" customHeight="false" outlineLevel="0" collapsed="false">
      <c r="A188" s="10" t="n">
        <v>186</v>
      </c>
      <c r="B188" s="10" t="n">
        <v>10</v>
      </c>
      <c r="C188" s="11" t="s">
        <v>120</v>
      </c>
      <c r="D188" s="12" t="n">
        <v>10</v>
      </c>
      <c r="E188" s="10" t="s">
        <v>74</v>
      </c>
      <c r="F188" s="11"/>
    </row>
    <row r="189" customFormat="false" ht="15" hidden="false" customHeight="false" outlineLevel="0" collapsed="false">
      <c r="A189" s="10" t="n">
        <v>187</v>
      </c>
      <c r="B189" s="10" t="n">
        <v>10</v>
      </c>
      <c r="C189" s="11" t="s">
        <v>121</v>
      </c>
      <c r="D189" s="12" t="n">
        <v>7</v>
      </c>
      <c r="E189" s="10" t="s">
        <v>71</v>
      </c>
      <c r="F189" s="11"/>
    </row>
    <row r="190" customFormat="false" ht="15" hidden="false" customHeight="false" outlineLevel="0" collapsed="false">
      <c r="A190" s="10" t="n">
        <v>188</v>
      </c>
      <c r="B190" s="10" t="n">
        <v>10</v>
      </c>
      <c r="C190" s="11" t="s">
        <v>211</v>
      </c>
      <c r="D190" s="12" t="n">
        <v>17</v>
      </c>
      <c r="E190" s="10" t="s">
        <v>74</v>
      </c>
      <c r="F190" s="11"/>
    </row>
    <row r="191" customFormat="false" ht="15" hidden="false" customHeight="false" outlineLevel="0" collapsed="false">
      <c r="A191" s="10" t="n">
        <v>189</v>
      </c>
      <c r="B191" s="10" t="n">
        <v>10</v>
      </c>
      <c r="C191" s="11" t="s">
        <v>212</v>
      </c>
      <c r="D191" s="12" t="n">
        <v>8</v>
      </c>
      <c r="E191" s="10" t="s">
        <v>74</v>
      </c>
      <c r="F191" s="11"/>
    </row>
    <row r="192" customFormat="false" ht="15" hidden="false" customHeight="false" outlineLevel="0" collapsed="false">
      <c r="A192" s="10" t="n">
        <v>190</v>
      </c>
      <c r="B192" s="10" t="n">
        <v>10</v>
      </c>
      <c r="C192" s="11" t="s">
        <v>99</v>
      </c>
      <c r="D192" s="12" t="n">
        <v>5</v>
      </c>
      <c r="E192" s="10" t="s">
        <v>122</v>
      </c>
      <c r="F192" s="11" t="s">
        <v>200</v>
      </c>
    </row>
    <row r="193" customFormat="false" ht="15" hidden="false" customHeight="false" outlineLevel="0" collapsed="false">
      <c r="A193" s="10" t="n">
        <v>191</v>
      </c>
      <c r="B193" s="10" t="n">
        <v>10</v>
      </c>
      <c r="C193" s="11" t="s">
        <v>213</v>
      </c>
      <c r="D193" s="12" t="n">
        <v>33</v>
      </c>
      <c r="E193" s="10" t="s">
        <v>78</v>
      </c>
      <c r="F193" s="11"/>
    </row>
    <row r="194" customFormat="false" ht="15" hidden="false" customHeight="false" outlineLevel="0" collapsed="false">
      <c r="A194" s="10" t="n">
        <v>192</v>
      </c>
      <c r="B194" s="10" t="n">
        <v>10</v>
      </c>
      <c r="C194" s="11" t="s">
        <v>214</v>
      </c>
      <c r="D194" s="12" t="n">
        <v>12</v>
      </c>
      <c r="E194" s="10" t="s">
        <v>71</v>
      </c>
      <c r="F194" s="11"/>
    </row>
    <row r="195" customFormat="false" ht="15" hidden="false" customHeight="false" outlineLevel="0" collapsed="false">
      <c r="A195" s="10" t="n">
        <v>193</v>
      </c>
      <c r="B195" s="10" t="n">
        <v>10</v>
      </c>
      <c r="C195" s="11" t="s">
        <v>109</v>
      </c>
      <c r="D195" s="12" t="n">
        <v>8</v>
      </c>
      <c r="E195" s="10" t="s">
        <v>71</v>
      </c>
      <c r="F195" s="11"/>
    </row>
    <row r="196" customFormat="false" ht="15" hidden="false" customHeight="false" outlineLevel="0" collapsed="false">
      <c r="A196" s="10" t="n">
        <v>194</v>
      </c>
      <c r="B196" s="10" t="n">
        <v>10</v>
      </c>
      <c r="C196" s="11" t="s">
        <v>121</v>
      </c>
      <c r="D196" s="12" t="n">
        <v>2</v>
      </c>
      <c r="E196" s="10" t="s">
        <v>122</v>
      </c>
      <c r="F196" s="11" t="s">
        <v>200</v>
      </c>
    </row>
    <row r="197" customFormat="false" ht="15" hidden="false" customHeight="false" outlineLevel="0" collapsed="false">
      <c r="A197" s="10" t="n">
        <v>195</v>
      </c>
      <c r="B197" s="10" t="n">
        <v>10</v>
      </c>
      <c r="C197" s="11" t="s">
        <v>92</v>
      </c>
      <c r="D197" s="12" t="n">
        <v>4</v>
      </c>
      <c r="E197" s="10" t="s">
        <v>122</v>
      </c>
      <c r="F197" s="11" t="s">
        <v>200</v>
      </c>
    </row>
    <row r="198" customFormat="false" ht="15" hidden="false" customHeight="false" outlineLevel="0" collapsed="false">
      <c r="A198" s="10" t="n">
        <v>196</v>
      </c>
      <c r="B198" s="10" t="n">
        <v>10</v>
      </c>
      <c r="C198" s="11" t="s">
        <v>153</v>
      </c>
      <c r="D198" s="12" t="n">
        <v>5</v>
      </c>
      <c r="E198" s="10" t="s">
        <v>74</v>
      </c>
      <c r="F198" s="11"/>
    </row>
    <row r="199" customFormat="false" ht="15" hidden="false" customHeight="false" outlineLevel="0" collapsed="false">
      <c r="A199" s="10" t="n">
        <v>197</v>
      </c>
      <c r="B199" s="10" t="n">
        <v>13</v>
      </c>
      <c r="C199" s="11" t="s">
        <v>215</v>
      </c>
      <c r="D199" s="12" t="n">
        <v>10</v>
      </c>
      <c r="E199" s="10" t="s">
        <v>72</v>
      </c>
      <c r="F199" s="11"/>
    </row>
    <row r="200" customFormat="false" ht="15" hidden="false" customHeight="false" outlineLevel="0" collapsed="false">
      <c r="A200" s="10" t="n">
        <v>198</v>
      </c>
      <c r="B200" s="10" t="n">
        <v>13</v>
      </c>
      <c r="C200" s="11" t="s">
        <v>216</v>
      </c>
      <c r="D200" s="12" t="n">
        <v>12</v>
      </c>
      <c r="E200" s="10" t="s">
        <v>71</v>
      </c>
      <c r="F200" s="11"/>
    </row>
    <row r="201" customFormat="false" ht="15" hidden="false" customHeight="false" outlineLevel="0" collapsed="false">
      <c r="A201" s="10" t="n">
        <v>199</v>
      </c>
      <c r="B201" s="10" t="n">
        <v>13</v>
      </c>
      <c r="C201" s="11" t="s">
        <v>105</v>
      </c>
      <c r="D201" s="12" t="n">
        <v>8</v>
      </c>
      <c r="E201" s="10" t="s">
        <v>72</v>
      </c>
      <c r="F201" s="11"/>
    </row>
    <row r="202" customFormat="false" ht="15" hidden="false" customHeight="false" outlineLevel="0" collapsed="false">
      <c r="A202" s="10" t="n">
        <v>200</v>
      </c>
      <c r="B202" s="10" t="n">
        <v>13</v>
      </c>
      <c r="C202" s="11" t="s">
        <v>217</v>
      </c>
      <c r="D202" s="12" t="n">
        <v>14</v>
      </c>
      <c r="E202" s="10" t="s">
        <v>72</v>
      </c>
      <c r="F202" s="11"/>
    </row>
    <row r="203" customFormat="false" ht="15" hidden="false" customHeight="false" outlineLevel="0" collapsed="false">
      <c r="A203" s="10" t="n">
        <v>201</v>
      </c>
      <c r="B203" s="10" t="n">
        <v>13</v>
      </c>
      <c r="C203" s="11" t="s">
        <v>218</v>
      </c>
      <c r="D203" s="12" t="n">
        <v>36</v>
      </c>
      <c r="E203" s="10" t="s">
        <v>74</v>
      </c>
      <c r="F203" s="11"/>
    </row>
    <row r="204" customFormat="false" ht="15" hidden="false" customHeight="false" outlineLevel="0" collapsed="false">
      <c r="A204" s="10" t="n">
        <v>202</v>
      </c>
      <c r="B204" s="10" t="n">
        <v>13</v>
      </c>
      <c r="C204" s="11" t="s">
        <v>79</v>
      </c>
      <c r="D204" s="12" t="n">
        <v>5</v>
      </c>
      <c r="E204" s="10" t="s">
        <v>122</v>
      </c>
      <c r="F204" s="11" t="s">
        <v>219</v>
      </c>
    </row>
    <row r="205" customFormat="false" ht="15" hidden="false" customHeight="false" outlineLevel="0" collapsed="false">
      <c r="A205" s="10" t="n">
        <v>203</v>
      </c>
      <c r="B205" s="10" t="n">
        <v>13</v>
      </c>
      <c r="C205" s="11" t="s">
        <v>212</v>
      </c>
      <c r="D205" s="12" t="n">
        <v>8</v>
      </c>
      <c r="E205" s="10" t="s">
        <v>72</v>
      </c>
      <c r="F205" s="11"/>
    </row>
    <row r="206" customFormat="false" ht="15" hidden="false" customHeight="false" outlineLevel="0" collapsed="false">
      <c r="A206" s="10" t="n">
        <v>204</v>
      </c>
      <c r="B206" s="10" t="n">
        <v>13</v>
      </c>
      <c r="C206" s="11" t="s">
        <v>84</v>
      </c>
      <c r="D206" s="12" t="n">
        <v>8</v>
      </c>
      <c r="E206" s="10" t="s">
        <v>72</v>
      </c>
      <c r="F206" s="11"/>
    </row>
    <row r="207" customFormat="false" ht="15" hidden="false" customHeight="false" outlineLevel="0" collapsed="false">
      <c r="A207" s="10" t="n">
        <v>205</v>
      </c>
      <c r="B207" s="10" t="n">
        <v>13</v>
      </c>
      <c r="C207" s="11" t="s">
        <v>105</v>
      </c>
      <c r="D207" s="12" t="n">
        <v>14</v>
      </c>
      <c r="E207" s="10" t="s">
        <v>71</v>
      </c>
      <c r="F207" s="11"/>
    </row>
    <row r="208" customFormat="false" ht="15" hidden="false" customHeight="false" outlineLevel="0" collapsed="false">
      <c r="A208" s="10" t="n">
        <v>206</v>
      </c>
      <c r="B208" s="10" t="n">
        <v>17</v>
      </c>
      <c r="C208" s="11" t="s">
        <v>220</v>
      </c>
      <c r="D208" s="12" t="n">
        <v>22</v>
      </c>
      <c r="E208" s="10" t="s">
        <v>74</v>
      </c>
      <c r="F208" s="11"/>
    </row>
    <row r="209" customFormat="false" ht="15" hidden="false" customHeight="false" outlineLevel="0" collapsed="false">
      <c r="A209" s="10" t="n">
        <v>207</v>
      </c>
      <c r="B209" s="10" t="n">
        <v>17</v>
      </c>
      <c r="C209" s="11" t="s">
        <v>221</v>
      </c>
      <c r="D209" s="12" t="n">
        <v>29</v>
      </c>
      <c r="E209" s="10" t="s">
        <v>72</v>
      </c>
      <c r="F209" s="11"/>
    </row>
    <row r="210" customFormat="false" ht="15" hidden="false" customHeight="false" outlineLevel="0" collapsed="false">
      <c r="A210" s="10" t="n">
        <v>208</v>
      </c>
      <c r="B210" s="10" t="n">
        <v>17</v>
      </c>
      <c r="C210" s="11" t="s">
        <v>84</v>
      </c>
      <c r="D210" s="12" t="n">
        <v>8</v>
      </c>
      <c r="E210" s="10" t="s">
        <v>74</v>
      </c>
      <c r="F210" s="11"/>
    </row>
    <row r="211" customFormat="false" ht="15" hidden="false" customHeight="false" outlineLevel="0" collapsed="false">
      <c r="A211" s="10" t="n">
        <v>209</v>
      </c>
      <c r="B211" s="10" t="n">
        <v>17</v>
      </c>
      <c r="C211" s="11" t="s">
        <v>222</v>
      </c>
      <c r="D211" s="12" t="n">
        <v>18</v>
      </c>
      <c r="E211" s="10" t="s">
        <v>71</v>
      </c>
      <c r="F211" s="11"/>
    </row>
    <row r="212" customFormat="false" ht="15" hidden="false" customHeight="false" outlineLevel="0" collapsed="false">
      <c r="A212" s="10" t="n">
        <v>210</v>
      </c>
      <c r="B212" s="10" t="n">
        <v>17</v>
      </c>
      <c r="C212" s="11" t="s">
        <v>105</v>
      </c>
      <c r="D212" s="12" t="n">
        <v>14</v>
      </c>
      <c r="E212" s="10" t="s">
        <v>72</v>
      </c>
      <c r="F212" s="11"/>
    </row>
    <row r="213" customFormat="false" ht="15" hidden="false" customHeight="false" outlineLevel="0" collapsed="false">
      <c r="A213" s="10" t="n">
        <v>211</v>
      </c>
      <c r="B213" s="10" t="n">
        <v>17</v>
      </c>
      <c r="C213" s="11" t="s">
        <v>92</v>
      </c>
      <c r="D213" s="12" t="n">
        <v>4</v>
      </c>
      <c r="E213" s="10" t="s">
        <v>71</v>
      </c>
      <c r="F213" s="11"/>
    </row>
    <row r="214" customFormat="false" ht="15" hidden="false" customHeight="false" outlineLevel="0" collapsed="false">
      <c r="A214" s="10" t="n">
        <v>212</v>
      </c>
      <c r="B214" s="10" t="n">
        <v>17</v>
      </c>
      <c r="C214" s="11" t="s">
        <v>93</v>
      </c>
      <c r="D214" s="12" t="n">
        <v>33</v>
      </c>
      <c r="E214" s="10" t="s">
        <v>74</v>
      </c>
      <c r="F214" s="11"/>
    </row>
    <row r="215" customFormat="false" ht="15" hidden="false" customHeight="false" outlineLevel="0" collapsed="false">
      <c r="A215" s="10" t="n">
        <v>213</v>
      </c>
      <c r="B215" s="10" t="n">
        <v>17</v>
      </c>
      <c r="C215" s="11" t="s">
        <v>223</v>
      </c>
      <c r="D215" s="12" t="n">
        <v>33</v>
      </c>
      <c r="E215" s="10" t="s">
        <v>78</v>
      </c>
      <c r="F215" s="11"/>
    </row>
    <row r="216" customFormat="false" ht="15" hidden="false" customHeight="false" outlineLevel="0" collapsed="false">
      <c r="A216" s="10" t="n">
        <v>214</v>
      </c>
      <c r="B216" s="10" t="n">
        <v>17</v>
      </c>
      <c r="C216" s="11" t="s">
        <v>224</v>
      </c>
      <c r="D216" s="12" t="n">
        <v>27</v>
      </c>
      <c r="E216" s="10" t="s">
        <v>122</v>
      </c>
      <c r="F216" s="11" t="s">
        <v>200</v>
      </c>
    </row>
    <row r="217" customFormat="false" ht="15" hidden="false" customHeight="false" outlineLevel="0" collapsed="false">
      <c r="A217" s="10" t="n">
        <v>215</v>
      </c>
      <c r="B217" s="10" t="n">
        <v>17</v>
      </c>
      <c r="C217" s="11" t="s">
        <v>225</v>
      </c>
      <c r="D217" s="12" t="n">
        <v>14</v>
      </c>
      <c r="E217" s="10" t="s">
        <v>74</v>
      </c>
      <c r="F217" s="11"/>
    </row>
    <row r="218" customFormat="false" ht="15" hidden="false" customHeight="false" outlineLevel="0" collapsed="false">
      <c r="A218" s="10" t="n">
        <v>216</v>
      </c>
      <c r="B218" s="10" t="n">
        <v>17</v>
      </c>
      <c r="C218" s="11" t="s">
        <v>226</v>
      </c>
      <c r="D218" s="12" t="n">
        <v>11</v>
      </c>
      <c r="E218" s="10" t="s">
        <v>72</v>
      </c>
      <c r="F218" s="11"/>
    </row>
    <row r="219" customFormat="false" ht="15" hidden="false" customHeight="false" outlineLevel="0" collapsed="false">
      <c r="A219" s="10" t="n">
        <v>217</v>
      </c>
      <c r="B219" s="10" t="n">
        <v>17</v>
      </c>
      <c r="C219" s="11" t="s">
        <v>227</v>
      </c>
      <c r="D219" s="12" t="n">
        <v>9</v>
      </c>
      <c r="E219" s="10" t="s">
        <v>71</v>
      </c>
      <c r="F219" s="11"/>
    </row>
    <row r="220" customFormat="false" ht="15" hidden="false" customHeight="false" outlineLevel="0" collapsed="false">
      <c r="A220" s="10" t="n">
        <v>218</v>
      </c>
      <c r="B220" s="10" t="n">
        <v>17</v>
      </c>
      <c r="C220" s="11" t="s">
        <v>228</v>
      </c>
      <c r="D220" s="12" t="n">
        <v>20</v>
      </c>
      <c r="E220" s="10" t="s">
        <v>71</v>
      </c>
      <c r="F220" s="11"/>
    </row>
    <row r="221" customFormat="false" ht="15" hidden="false" customHeight="false" outlineLevel="0" collapsed="false">
      <c r="A221" s="10" t="n">
        <v>219</v>
      </c>
      <c r="B221" s="10" t="n">
        <v>17</v>
      </c>
      <c r="C221" s="11" t="s">
        <v>84</v>
      </c>
      <c r="D221" s="12" t="n">
        <v>8</v>
      </c>
      <c r="E221" s="10" t="s">
        <v>72</v>
      </c>
      <c r="F221" s="11"/>
    </row>
    <row r="222" customFormat="false" ht="15" hidden="false" customHeight="false" outlineLevel="0" collapsed="false">
      <c r="A222" s="10" t="n">
        <v>220</v>
      </c>
      <c r="B222" s="10" t="n">
        <v>17</v>
      </c>
      <c r="C222" s="11" t="s">
        <v>229</v>
      </c>
      <c r="D222" s="12" t="n">
        <v>42</v>
      </c>
      <c r="E222" s="10" t="s">
        <v>74</v>
      </c>
      <c r="F222" s="11"/>
    </row>
    <row r="223" customFormat="false" ht="15" hidden="false" customHeight="false" outlineLevel="0" collapsed="false">
      <c r="A223" s="10" t="n">
        <v>221</v>
      </c>
      <c r="B223" s="10" t="n">
        <v>17</v>
      </c>
      <c r="C223" s="11" t="s">
        <v>230</v>
      </c>
      <c r="D223" s="12" t="n">
        <v>31</v>
      </c>
      <c r="E223" s="10" t="s">
        <v>74</v>
      </c>
      <c r="F223" s="11"/>
    </row>
    <row r="224" customFormat="false" ht="15" hidden="false" customHeight="false" outlineLevel="0" collapsed="false">
      <c r="A224" s="10" t="n">
        <v>222</v>
      </c>
      <c r="B224" s="10" t="n">
        <v>17</v>
      </c>
      <c r="C224" s="11" t="s">
        <v>231</v>
      </c>
      <c r="D224" s="12" t="n">
        <v>2</v>
      </c>
      <c r="E224" s="10" t="s">
        <v>72</v>
      </c>
      <c r="F224" s="11"/>
    </row>
    <row r="225" customFormat="false" ht="15" hidden="false" customHeight="false" outlineLevel="0" collapsed="false">
      <c r="A225" s="10" t="n">
        <v>223</v>
      </c>
      <c r="B225" s="10" t="n">
        <v>17</v>
      </c>
      <c r="C225" s="11" t="s">
        <v>232</v>
      </c>
      <c r="D225" s="12" t="n">
        <v>10</v>
      </c>
      <c r="E225" s="10" t="s">
        <v>71</v>
      </c>
      <c r="F225" s="11"/>
    </row>
    <row r="226" customFormat="false" ht="15" hidden="false" customHeight="false" outlineLevel="0" collapsed="false">
      <c r="A226" s="10" t="n">
        <v>224</v>
      </c>
      <c r="B226" s="10" t="n">
        <v>18</v>
      </c>
      <c r="C226" s="11" t="s">
        <v>84</v>
      </c>
      <c r="D226" s="12" t="n">
        <v>8</v>
      </c>
      <c r="E226" s="10" t="s">
        <v>71</v>
      </c>
      <c r="F226" s="11"/>
    </row>
    <row r="227" customFormat="false" ht="15" hidden="false" customHeight="false" outlineLevel="0" collapsed="false">
      <c r="A227" s="10" t="n">
        <v>225</v>
      </c>
      <c r="B227" s="10" t="n">
        <v>18</v>
      </c>
      <c r="C227" s="11" t="s">
        <v>233</v>
      </c>
      <c r="D227" s="12" t="n">
        <v>29</v>
      </c>
      <c r="E227" s="10" t="s">
        <v>71</v>
      </c>
      <c r="F227" s="11"/>
    </row>
    <row r="228" customFormat="false" ht="15" hidden="false" customHeight="false" outlineLevel="0" collapsed="false">
      <c r="A228" s="10" t="n">
        <v>226</v>
      </c>
      <c r="B228" s="10" t="n">
        <v>18</v>
      </c>
      <c r="C228" s="11" t="s">
        <v>234</v>
      </c>
      <c r="D228" s="12" t="n">
        <v>15</v>
      </c>
      <c r="E228" s="10" t="s">
        <v>71</v>
      </c>
      <c r="F228" s="11"/>
    </row>
    <row r="229" customFormat="false" ht="15" hidden="false" customHeight="false" outlineLevel="0" collapsed="false">
      <c r="A229" s="10" t="n">
        <v>227</v>
      </c>
      <c r="B229" s="10" t="n">
        <v>18</v>
      </c>
      <c r="C229" s="11" t="s">
        <v>99</v>
      </c>
      <c r="D229" s="12" t="n">
        <v>5</v>
      </c>
      <c r="E229" s="10" t="s">
        <v>71</v>
      </c>
      <c r="F229" s="11"/>
    </row>
    <row r="230" customFormat="false" ht="15" hidden="false" customHeight="false" outlineLevel="0" collapsed="false">
      <c r="A230" s="10" t="n">
        <v>228</v>
      </c>
      <c r="B230" s="10" t="n">
        <v>18</v>
      </c>
      <c r="C230" s="11" t="s">
        <v>126</v>
      </c>
      <c r="D230" s="12" t="n">
        <v>8</v>
      </c>
      <c r="E230" s="10" t="s">
        <v>122</v>
      </c>
      <c r="F230" s="11" t="s">
        <v>200</v>
      </c>
    </row>
    <row r="231" customFormat="false" ht="15" hidden="false" customHeight="false" outlineLevel="0" collapsed="false">
      <c r="A231" s="10" t="n">
        <v>229</v>
      </c>
      <c r="B231" s="10" t="n">
        <v>18</v>
      </c>
      <c r="C231" s="11" t="s">
        <v>121</v>
      </c>
      <c r="D231" s="12" t="n">
        <v>7</v>
      </c>
      <c r="E231" s="10" t="s">
        <v>71</v>
      </c>
      <c r="F231" s="11"/>
    </row>
    <row r="232" customFormat="false" ht="15" hidden="false" customHeight="false" outlineLevel="0" collapsed="false">
      <c r="A232" s="10" t="n">
        <v>230</v>
      </c>
      <c r="B232" s="10" t="n">
        <v>18</v>
      </c>
      <c r="C232" s="11" t="s">
        <v>212</v>
      </c>
      <c r="D232" s="12" t="n">
        <v>8</v>
      </c>
      <c r="E232" s="10" t="s">
        <v>72</v>
      </c>
      <c r="F232" s="11"/>
    </row>
    <row r="233" customFormat="false" ht="15" hidden="false" customHeight="false" outlineLevel="0" collapsed="false">
      <c r="A233" s="10" t="n">
        <v>231</v>
      </c>
      <c r="B233" s="10" t="n">
        <v>18</v>
      </c>
      <c r="C233" s="11" t="s">
        <v>97</v>
      </c>
      <c r="D233" s="12" t="n">
        <v>7</v>
      </c>
      <c r="E233" s="10" t="s">
        <v>74</v>
      </c>
      <c r="F233" s="11"/>
    </row>
    <row r="234" customFormat="false" ht="15" hidden="false" customHeight="false" outlineLevel="0" collapsed="false">
      <c r="A234" s="10" t="n">
        <v>232</v>
      </c>
      <c r="B234" s="10" t="n">
        <v>18</v>
      </c>
      <c r="C234" s="11" t="s">
        <v>105</v>
      </c>
      <c r="D234" s="12" t="n">
        <v>14</v>
      </c>
      <c r="E234" s="10" t="s">
        <v>122</v>
      </c>
      <c r="F234" s="11" t="s">
        <v>200</v>
      </c>
    </row>
    <row r="235" customFormat="false" ht="15" hidden="false" customHeight="false" outlineLevel="0" collapsed="false">
      <c r="A235" s="10" t="n">
        <v>233</v>
      </c>
      <c r="B235" s="10" t="n">
        <v>18</v>
      </c>
      <c r="C235" s="11" t="s">
        <v>235</v>
      </c>
      <c r="D235" s="12" t="n">
        <v>5</v>
      </c>
      <c r="E235" s="10" t="s">
        <v>122</v>
      </c>
      <c r="F235" s="11" t="s">
        <v>200</v>
      </c>
    </row>
    <row r="236" customFormat="false" ht="15" hidden="false" customHeight="false" outlineLevel="0" collapsed="false">
      <c r="A236" s="10" t="n">
        <v>234</v>
      </c>
      <c r="B236" s="10" t="n">
        <v>18</v>
      </c>
      <c r="C236" s="11" t="s">
        <v>84</v>
      </c>
      <c r="D236" s="12" t="n">
        <v>8</v>
      </c>
      <c r="E236" s="10" t="s">
        <v>71</v>
      </c>
      <c r="F236" s="11"/>
    </row>
    <row r="237" customFormat="false" ht="15" hidden="false" customHeight="false" outlineLevel="0" collapsed="false">
      <c r="A237" s="10" t="n">
        <v>235</v>
      </c>
      <c r="B237" s="10" t="n">
        <v>18</v>
      </c>
      <c r="C237" s="11" t="s">
        <v>236</v>
      </c>
      <c r="D237" s="12" t="n">
        <v>9</v>
      </c>
      <c r="E237" s="10" t="s">
        <v>122</v>
      </c>
      <c r="F237" s="11" t="s">
        <v>200</v>
      </c>
    </row>
    <row r="238" customFormat="false" ht="15" hidden="false" customHeight="false" outlineLevel="0" collapsed="false">
      <c r="A238" s="10" t="n">
        <v>236</v>
      </c>
      <c r="B238" s="10" t="n">
        <v>18</v>
      </c>
      <c r="C238" s="11" t="s">
        <v>237</v>
      </c>
      <c r="D238" s="12" t="n">
        <v>9</v>
      </c>
      <c r="E238" s="10" t="s">
        <v>71</v>
      </c>
      <c r="F238" s="11"/>
    </row>
    <row r="239" customFormat="false" ht="15" hidden="false" customHeight="false" outlineLevel="0" collapsed="false">
      <c r="A239" s="10" t="n">
        <v>237</v>
      </c>
      <c r="B239" s="10" t="n">
        <v>18</v>
      </c>
      <c r="C239" s="11" t="s">
        <v>124</v>
      </c>
      <c r="D239" s="12" t="n">
        <v>10</v>
      </c>
      <c r="E239" s="10" t="s">
        <v>122</v>
      </c>
      <c r="F239" s="11" t="s">
        <v>200</v>
      </c>
    </row>
    <row r="240" customFormat="false" ht="15" hidden="false" customHeight="false" outlineLevel="0" collapsed="false">
      <c r="A240" s="10" t="n">
        <v>238</v>
      </c>
      <c r="B240" s="10" t="n">
        <v>18</v>
      </c>
      <c r="C240" s="11" t="s">
        <v>97</v>
      </c>
      <c r="D240" s="12" t="n">
        <v>7</v>
      </c>
      <c r="E240" s="10" t="s">
        <v>122</v>
      </c>
      <c r="F240" s="11" t="s">
        <v>200</v>
      </c>
    </row>
    <row r="241" customFormat="false" ht="15" hidden="false" customHeight="false" outlineLevel="0" collapsed="false">
      <c r="A241" s="10" t="n">
        <v>239</v>
      </c>
      <c r="B241" s="10" t="n">
        <v>18</v>
      </c>
      <c r="C241" s="11" t="s">
        <v>235</v>
      </c>
      <c r="D241" s="12" t="n">
        <v>5</v>
      </c>
      <c r="E241" s="10" t="s">
        <v>72</v>
      </c>
      <c r="F241" s="11"/>
    </row>
    <row r="242" customFormat="false" ht="15" hidden="false" customHeight="false" outlineLevel="0" collapsed="false">
      <c r="A242" s="10" t="n">
        <v>240</v>
      </c>
      <c r="B242" s="10" t="n">
        <v>18</v>
      </c>
      <c r="C242" s="11" t="s">
        <v>238</v>
      </c>
      <c r="D242" s="12" t="n">
        <v>5</v>
      </c>
      <c r="E242" s="10" t="s">
        <v>122</v>
      </c>
      <c r="F242" s="11" t="s">
        <v>140</v>
      </c>
    </row>
    <row r="243" customFormat="false" ht="15" hidden="false" customHeight="false" outlineLevel="0" collapsed="false">
      <c r="A243" s="10" t="n">
        <v>241</v>
      </c>
      <c r="B243" s="10" t="n">
        <v>18</v>
      </c>
      <c r="C243" s="11" t="s">
        <v>239</v>
      </c>
      <c r="D243" s="12" t="n">
        <v>5</v>
      </c>
      <c r="E243" s="10" t="s">
        <v>122</v>
      </c>
      <c r="F243" s="11" t="s">
        <v>200</v>
      </c>
    </row>
    <row r="244" customFormat="false" ht="15" hidden="false" customHeight="false" outlineLevel="0" collapsed="false">
      <c r="A244" s="10" t="n">
        <v>242</v>
      </c>
      <c r="B244" s="10" t="n">
        <v>18</v>
      </c>
      <c r="C244" s="11" t="s">
        <v>240</v>
      </c>
      <c r="D244" s="12" t="n">
        <v>6</v>
      </c>
      <c r="E244" s="10" t="s">
        <v>122</v>
      </c>
      <c r="F244" s="11" t="s">
        <v>144</v>
      </c>
    </row>
    <row r="245" customFormat="false" ht="15" hidden="false" customHeight="false" outlineLevel="0" collapsed="false">
      <c r="A245" s="10" t="n">
        <v>243</v>
      </c>
      <c r="B245" s="10" t="n">
        <v>18</v>
      </c>
      <c r="C245" s="11" t="s">
        <v>92</v>
      </c>
      <c r="D245" s="12" t="n">
        <v>8</v>
      </c>
      <c r="E245" s="10" t="s">
        <v>72</v>
      </c>
      <c r="F245" s="11"/>
    </row>
    <row r="246" customFormat="false" ht="15" hidden="false" customHeight="false" outlineLevel="0" collapsed="false">
      <c r="A246" s="10" t="n">
        <v>244</v>
      </c>
      <c r="B246" s="10" t="n">
        <v>18</v>
      </c>
      <c r="C246" s="11" t="s">
        <v>241</v>
      </c>
      <c r="D246" s="12" t="n">
        <v>2</v>
      </c>
      <c r="E246" s="10" t="s">
        <v>72</v>
      </c>
      <c r="F246" s="11"/>
    </row>
    <row r="247" customFormat="false" ht="15" hidden="false" customHeight="false" outlineLevel="0" collapsed="false">
      <c r="A247" s="10" t="n">
        <v>245</v>
      </c>
      <c r="B247" s="10" t="n">
        <v>18</v>
      </c>
      <c r="C247" s="11" t="s">
        <v>92</v>
      </c>
      <c r="D247" s="12" t="n">
        <v>4</v>
      </c>
      <c r="E247" s="10" t="s">
        <v>72</v>
      </c>
      <c r="F247" s="11"/>
    </row>
    <row r="248" customFormat="false" ht="15" hidden="false" customHeight="false" outlineLevel="0" collapsed="false">
      <c r="A248" s="10" t="n">
        <v>246</v>
      </c>
      <c r="B248" s="10" t="n">
        <v>18</v>
      </c>
      <c r="C248" s="11" t="s">
        <v>242</v>
      </c>
      <c r="D248" s="12" t="n">
        <v>7</v>
      </c>
      <c r="E248" s="10" t="s">
        <v>71</v>
      </c>
      <c r="F248" s="11"/>
    </row>
    <row r="249" customFormat="false" ht="15" hidden="false" customHeight="false" outlineLevel="0" collapsed="false">
      <c r="A249" s="10" t="n">
        <v>247</v>
      </c>
      <c r="B249" s="10" t="n">
        <v>18</v>
      </c>
      <c r="C249" s="11" t="s">
        <v>243</v>
      </c>
      <c r="D249" s="12" t="n">
        <v>14</v>
      </c>
      <c r="E249" s="10" t="s">
        <v>122</v>
      </c>
      <c r="F249" s="11" t="s">
        <v>200</v>
      </c>
    </row>
    <row r="250" customFormat="false" ht="15" hidden="false" customHeight="false" outlineLevel="0" collapsed="false">
      <c r="A250" s="10" t="n">
        <v>248</v>
      </c>
      <c r="B250" s="10" t="n">
        <v>18</v>
      </c>
      <c r="C250" s="11" t="s">
        <v>244</v>
      </c>
      <c r="D250" s="12" t="n">
        <v>30</v>
      </c>
      <c r="E250" s="10" t="s">
        <v>78</v>
      </c>
      <c r="F250" s="11"/>
    </row>
    <row r="251" customFormat="false" ht="15" hidden="false" customHeight="false" outlineLevel="0" collapsed="false">
      <c r="A251" s="10" t="n">
        <v>249</v>
      </c>
      <c r="B251" s="10" t="n">
        <v>19</v>
      </c>
      <c r="C251" s="11" t="s">
        <v>97</v>
      </c>
      <c r="D251" s="12" t="n">
        <v>7</v>
      </c>
      <c r="E251" s="10" t="s">
        <v>71</v>
      </c>
      <c r="F251" s="11"/>
    </row>
    <row r="252" customFormat="false" ht="15" hidden="false" customHeight="false" outlineLevel="0" collapsed="false">
      <c r="A252" s="10" t="n">
        <v>250</v>
      </c>
      <c r="B252" s="10" t="n">
        <v>19</v>
      </c>
      <c r="C252" s="11" t="s">
        <v>245</v>
      </c>
      <c r="D252" s="12" t="n">
        <v>21</v>
      </c>
      <c r="E252" s="10" t="s">
        <v>71</v>
      </c>
      <c r="F252" s="11"/>
    </row>
    <row r="253" customFormat="false" ht="15" hidden="false" customHeight="false" outlineLevel="0" collapsed="false">
      <c r="A253" s="10" t="n">
        <v>251</v>
      </c>
      <c r="B253" s="10" t="n">
        <v>19</v>
      </c>
      <c r="C253" s="11" t="s">
        <v>246</v>
      </c>
      <c r="D253" s="12" t="n">
        <v>5</v>
      </c>
      <c r="E253" s="10" t="s">
        <v>122</v>
      </c>
      <c r="F253" s="11" t="s">
        <v>140</v>
      </c>
    </row>
    <row r="254" customFormat="false" ht="15" hidden="false" customHeight="false" outlineLevel="0" collapsed="false">
      <c r="A254" s="10" t="n">
        <v>252</v>
      </c>
      <c r="B254" s="10" t="n">
        <v>19</v>
      </c>
      <c r="C254" s="11" t="s">
        <v>247</v>
      </c>
      <c r="D254" s="12" t="n">
        <v>12</v>
      </c>
      <c r="E254" s="10" t="s">
        <v>122</v>
      </c>
      <c r="F254" s="11" t="s">
        <v>248</v>
      </c>
    </row>
    <row r="255" customFormat="false" ht="15" hidden="false" customHeight="false" outlineLevel="0" collapsed="false">
      <c r="A255" s="10" t="n">
        <v>253</v>
      </c>
      <c r="B255" s="10" t="n">
        <v>19</v>
      </c>
      <c r="C255" s="11" t="s">
        <v>84</v>
      </c>
      <c r="D255" s="12" t="n">
        <v>8</v>
      </c>
      <c r="E255" s="10" t="s">
        <v>122</v>
      </c>
      <c r="F255" s="11" t="s">
        <v>200</v>
      </c>
    </row>
    <row r="256" customFormat="false" ht="15" hidden="false" customHeight="false" outlineLevel="0" collapsed="false">
      <c r="A256" s="10" t="n">
        <v>254</v>
      </c>
      <c r="B256" s="10" t="n">
        <v>19</v>
      </c>
      <c r="C256" s="11" t="s">
        <v>80</v>
      </c>
      <c r="D256" s="12" t="n">
        <v>28</v>
      </c>
      <c r="E256" s="10" t="s">
        <v>122</v>
      </c>
      <c r="F256" s="11" t="s">
        <v>248</v>
      </c>
    </row>
    <row r="257" customFormat="false" ht="15" hidden="false" customHeight="false" outlineLevel="0" collapsed="false">
      <c r="A257" s="10" t="n">
        <v>255</v>
      </c>
      <c r="B257" s="10" t="n">
        <v>19</v>
      </c>
      <c r="C257" s="11" t="s">
        <v>92</v>
      </c>
      <c r="D257" s="12" t="n">
        <v>4</v>
      </c>
      <c r="E257" s="10" t="s">
        <v>122</v>
      </c>
      <c r="F257" s="11" t="s">
        <v>200</v>
      </c>
    </row>
    <row r="258" customFormat="false" ht="15" hidden="false" customHeight="false" outlineLevel="0" collapsed="false">
      <c r="A258" s="10" t="n">
        <v>256</v>
      </c>
      <c r="B258" s="10" t="n">
        <v>19</v>
      </c>
      <c r="C258" s="11" t="s">
        <v>249</v>
      </c>
      <c r="D258" s="12" t="n">
        <v>12</v>
      </c>
      <c r="E258" s="10" t="s">
        <v>122</v>
      </c>
      <c r="F258" s="11" t="s">
        <v>200</v>
      </c>
    </row>
    <row r="259" customFormat="false" ht="15" hidden="false" customHeight="false" outlineLevel="0" collapsed="false">
      <c r="A259" s="10" t="n">
        <v>257</v>
      </c>
      <c r="B259" s="10" t="n">
        <v>19</v>
      </c>
      <c r="C259" s="11" t="s">
        <v>84</v>
      </c>
      <c r="D259" s="12" t="n">
        <v>8</v>
      </c>
      <c r="E259" s="10" t="s">
        <v>71</v>
      </c>
      <c r="F259" s="11"/>
    </row>
    <row r="260" customFormat="false" ht="15" hidden="false" customHeight="false" outlineLevel="0" collapsed="false">
      <c r="A260" s="10" t="n">
        <v>258</v>
      </c>
      <c r="B260" s="10" t="n">
        <v>19</v>
      </c>
      <c r="C260" s="11" t="s">
        <v>250</v>
      </c>
      <c r="D260" s="12" t="n">
        <v>13</v>
      </c>
      <c r="E260" s="10" t="s">
        <v>122</v>
      </c>
      <c r="F260" s="11" t="s">
        <v>144</v>
      </c>
    </row>
    <row r="261" customFormat="false" ht="15" hidden="false" customHeight="false" outlineLevel="0" collapsed="false">
      <c r="A261" s="10" t="n">
        <v>259</v>
      </c>
      <c r="B261" s="10" t="n">
        <v>19</v>
      </c>
      <c r="C261" s="11" t="s">
        <v>104</v>
      </c>
      <c r="D261" s="12" t="n">
        <v>16</v>
      </c>
      <c r="E261" s="10" t="s">
        <v>122</v>
      </c>
      <c r="F261" s="11" t="s">
        <v>200</v>
      </c>
    </row>
    <row r="262" customFormat="false" ht="15" hidden="false" customHeight="false" outlineLevel="0" collapsed="false">
      <c r="A262" s="10" t="n">
        <v>260</v>
      </c>
      <c r="B262" s="10" t="n">
        <v>19</v>
      </c>
      <c r="C262" s="11" t="s">
        <v>251</v>
      </c>
      <c r="D262" s="12" t="n">
        <v>8</v>
      </c>
      <c r="E262" s="10" t="s">
        <v>122</v>
      </c>
      <c r="F262" s="11" t="s">
        <v>144</v>
      </c>
    </row>
    <row r="263" customFormat="false" ht="15" hidden="false" customHeight="false" outlineLevel="0" collapsed="false">
      <c r="A263" s="10" t="n">
        <v>261</v>
      </c>
      <c r="B263" s="10" t="n">
        <v>19</v>
      </c>
      <c r="C263" s="11" t="s">
        <v>252</v>
      </c>
      <c r="D263" s="12" t="n">
        <v>16</v>
      </c>
      <c r="E263" s="10" t="s">
        <v>71</v>
      </c>
      <c r="F263" s="11"/>
    </row>
    <row r="264" customFormat="false" ht="15" hidden="false" customHeight="false" outlineLevel="0" collapsed="false">
      <c r="A264" s="10" t="n">
        <v>262</v>
      </c>
      <c r="B264" s="10" t="n">
        <v>19</v>
      </c>
      <c r="C264" s="11" t="s">
        <v>239</v>
      </c>
      <c r="D264" s="12" t="n">
        <v>5</v>
      </c>
      <c r="E264" s="10" t="s">
        <v>122</v>
      </c>
      <c r="F264" s="11" t="s">
        <v>253</v>
      </c>
    </row>
    <row r="265" customFormat="false" ht="15" hidden="false" customHeight="false" outlineLevel="0" collapsed="false">
      <c r="A265" s="10" t="n">
        <v>263</v>
      </c>
      <c r="B265" s="10" t="n">
        <v>19</v>
      </c>
      <c r="C265" s="11" t="s">
        <v>154</v>
      </c>
      <c r="D265" s="12" t="n">
        <v>4</v>
      </c>
      <c r="E265" s="10" t="s">
        <v>71</v>
      </c>
      <c r="F265" s="11"/>
    </row>
    <row r="266" customFormat="false" ht="15" hidden="false" customHeight="false" outlineLevel="0" collapsed="false">
      <c r="A266" s="10" t="n">
        <v>264</v>
      </c>
      <c r="B266" s="10" t="n">
        <v>19</v>
      </c>
      <c r="C266" s="11" t="s">
        <v>254</v>
      </c>
      <c r="D266" s="12" t="n">
        <v>20</v>
      </c>
      <c r="E266" s="10" t="s">
        <v>71</v>
      </c>
      <c r="F266" s="11"/>
    </row>
    <row r="267" customFormat="false" ht="15" hidden="false" customHeight="false" outlineLevel="0" collapsed="false">
      <c r="A267" s="10" t="n">
        <v>265</v>
      </c>
      <c r="B267" s="10" t="n">
        <v>19</v>
      </c>
      <c r="C267" s="11" t="s">
        <v>92</v>
      </c>
      <c r="D267" s="12" t="n">
        <v>4</v>
      </c>
      <c r="E267" s="10" t="s">
        <v>71</v>
      </c>
      <c r="F267" s="11"/>
    </row>
    <row r="268" customFormat="false" ht="15" hidden="false" customHeight="false" outlineLevel="0" collapsed="false">
      <c r="A268" s="10" t="n">
        <v>266</v>
      </c>
      <c r="B268" s="10" t="n">
        <v>19</v>
      </c>
      <c r="C268" s="11" t="s">
        <v>84</v>
      </c>
      <c r="D268" s="12" t="n">
        <v>8</v>
      </c>
      <c r="E268" s="10" t="s">
        <v>74</v>
      </c>
      <c r="F268" s="11"/>
    </row>
    <row r="269" customFormat="false" ht="15" hidden="false" customHeight="false" outlineLevel="0" collapsed="false">
      <c r="A269" s="10" t="n">
        <v>267</v>
      </c>
      <c r="B269" s="10" t="n">
        <v>19</v>
      </c>
      <c r="C269" s="11" t="s">
        <v>97</v>
      </c>
      <c r="D269" s="12" t="n">
        <v>14</v>
      </c>
      <c r="E269" s="10" t="s">
        <v>122</v>
      </c>
      <c r="F269" s="11" t="s">
        <v>248</v>
      </c>
    </row>
    <row r="270" customFormat="false" ht="15" hidden="false" customHeight="false" outlineLevel="0" collapsed="false">
      <c r="A270" s="10" t="n">
        <v>268</v>
      </c>
      <c r="B270" s="10" t="n">
        <v>19</v>
      </c>
      <c r="C270" s="11" t="s">
        <v>255</v>
      </c>
      <c r="D270" s="12" t="n">
        <v>7</v>
      </c>
      <c r="E270" s="10" t="s">
        <v>74</v>
      </c>
      <c r="F270" s="11"/>
    </row>
    <row r="271" customFormat="false" ht="15" hidden="false" customHeight="false" outlineLevel="0" collapsed="false">
      <c r="A271" s="10" t="n">
        <v>269</v>
      </c>
      <c r="B271" s="10" t="n">
        <v>19</v>
      </c>
      <c r="C271" s="11" t="s">
        <v>173</v>
      </c>
      <c r="D271" s="12" t="n">
        <v>20</v>
      </c>
      <c r="E271" s="10" t="s">
        <v>71</v>
      </c>
      <c r="F271" s="11"/>
    </row>
    <row r="272" customFormat="false" ht="15" hidden="false" customHeight="false" outlineLevel="0" collapsed="false">
      <c r="A272" s="10" t="n">
        <v>270</v>
      </c>
      <c r="B272" s="10" t="n">
        <v>19</v>
      </c>
      <c r="C272" s="11" t="s">
        <v>160</v>
      </c>
      <c r="D272" s="12" t="n">
        <v>4</v>
      </c>
      <c r="E272" s="10" t="s">
        <v>122</v>
      </c>
      <c r="F272" s="11" t="s">
        <v>200</v>
      </c>
    </row>
    <row r="273" customFormat="false" ht="15" hidden="false" customHeight="false" outlineLevel="0" collapsed="false">
      <c r="A273" s="10" t="n">
        <v>271</v>
      </c>
      <c r="B273" s="10" t="n">
        <v>19</v>
      </c>
      <c r="C273" s="11" t="s">
        <v>84</v>
      </c>
      <c r="D273" s="12" t="n">
        <v>8</v>
      </c>
      <c r="E273" s="10" t="s">
        <v>78</v>
      </c>
      <c r="F273" s="11"/>
    </row>
    <row r="274" customFormat="false" ht="15" hidden="false" customHeight="false" outlineLevel="0" collapsed="false">
      <c r="A274" s="10" t="n">
        <v>272</v>
      </c>
      <c r="B274" s="10" t="n">
        <v>19</v>
      </c>
      <c r="C274" s="11" t="s">
        <v>92</v>
      </c>
      <c r="D274" s="12" t="n">
        <v>6</v>
      </c>
      <c r="E274" s="10" t="s">
        <v>74</v>
      </c>
      <c r="F274" s="11"/>
    </row>
    <row r="275" customFormat="false" ht="15" hidden="false" customHeight="false" outlineLevel="0" collapsed="false">
      <c r="A275" s="10" t="n">
        <v>273</v>
      </c>
      <c r="B275" s="10" t="n">
        <v>19</v>
      </c>
      <c r="C275" s="11" t="s">
        <v>92</v>
      </c>
      <c r="D275" s="12" t="n">
        <v>4</v>
      </c>
      <c r="E275" s="10" t="s">
        <v>78</v>
      </c>
      <c r="F275" s="11"/>
    </row>
    <row r="276" customFormat="false" ht="15" hidden="false" customHeight="false" outlineLevel="0" collapsed="false">
      <c r="A276" s="10" t="n">
        <v>274</v>
      </c>
      <c r="B276" s="10" t="n">
        <v>19</v>
      </c>
      <c r="C276" s="11" t="s">
        <v>256</v>
      </c>
      <c r="D276" s="12" t="n">
        <v>16</v>
      </c>
      <c r="E276" s="10" t="s">
        <v>74</v>
      </c>
      <c r="F276" s="11"/>
    </row>
    <row r="277" customFormat="false" ht="15" hidden="false" customHeight="false" outlineLevel="0" collapsed="false">
      <c r="A277" s="13"/>
      <c r="B277" s="13"/>
      <c r="C277" s="14" t="s">
        <v>257</v>
      </c>
      <c r="D277" s="15" t="n">
        <f aca="false">SUM(D3:D276)</f>
        <v>3697.5</v>
      </c>
      <c r="E277" s="13"/>
      <c r="F277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5" t="s">
        <v>258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64</v>
      </c>
      <c r="B2" s="6" t="s">
        <v>65</v>
      </c>
      <c r="C2" s="6" t="s">
        <v>259</v>
      </c>
      <c r="D2" s="6" t="s">
        <v>260</v>
      </c>
      <c r="E2" s="6" t="s">
        <v>67</v>
      </c>
      <c r="F2" s="6" t="s">
        <v>69</v>
      </c>
    </row>
    <row r="3" customFormat="false" ht="32.8" hidden="false" customHeight="false" outlineLevel="0" collapsed="false">
      <c r="A3" s="10" t="n">
        <v>1</v>
      </c>
      <c r="B3" s="10" t="n">
        <v>8</v>
      </c>
      <c r="C3" s="11" t="s">
        <v>261</v>
      </c>
      <c r="D3" s="16" t="s">
        <v>262</v>
      </c>
      <c r="E3" s="12" t="n">
        <v>58</v>
      </c>
      <c r="F3" s="11" t="s">
        <v>263</v>
      </c>
    </row>
    <row r="4" customFormat="false" ht="22.35" hidden="false" customHeight="false" outlineLevel="0" collapsed="false">
      <c r="A4" s="10" t="n">
        <v>2</v>
      </c>
      <c r="B4" s="10" t="n">
        <v>8</v>
      </c>
      <c r="C4" s="11" t="s">
        <v>264</v>
      </c>
      <c r="D4" s="16" t="s">
        <v>265</v>
      </c>
      <c r="E4" s="12" t="n">
        <v>64</v>
      </c>
      <c r="F4" s="11" t="s">
        <v>266</v>
      </c>
    </row>
    <row r="5" customFormat="false" ht="22.35" hidden="false" customHeight="false" outlineLevel="0" collapsed="false">
      <c r="A5" s="10" t="n">
        <v>3</v>
      </c>
      <c r="B5" s="10" t="n">
        <v>8</v>
      </c>
      <c r="C5" s="11" t="s">
        <v>267</v>
      </c>
      <c r="D5" s="16" t="s">
        <v>268</v>
      </c>
      <c r="E5" s="12" t="n">
        <v>62</v>
      </c>
      <c r="F5" s="11" t="s">
        <v>266</v>
      </c>
    </row>
    <row r="6" customFormat="false" ht="15" hidden="false" customHeight="false" outlineLevel="0" collapsed="false">
      <c r="A6" s="10" t="n">
        <v>4</v>
      </c>
      <c r="B6" s="10" t="n">
        <v>8</v>
      </c>
      <c r="C6" s="11" t="s">
        <v>269</v>
      </c>
      <c r="D6" s="16" t="s">
        <v>270</v>
      </c>
      <c r="E6" s="12" t="n">
        <v>14</v>
      </c>
      <c r="F6" s="11" t="s">
        <v>271</v>
      </c>
    </row>
    <row r="7" customFormat="false" ht="22.35" hidden="false" customHeight="false" outlineLevel="0" collapsed="false">
      <c r="A7" s="10" t="n">
        <v>5</v>
      </c>
      <c r="B7" s="10" t="n">
        <v>8</v>
      </c>
      <c r="C7" s="11" t="s">
        <v>272</v>
      </c>
      <c r="D7" s="16" t="s">
        <v>273</v>
      </c>
      <c r="E7" s="12" t="n">
        <v>32</v>
      </c>
      <c r="F7" s="11" t="s">
        <v>274</v>
      </c>
    </row>
    <row r="8" customFormat="false" ht="15" hidden="false" customHeight="false" outlineLevel="0" collapsed="false">
      <c r="A8" s="10" t="n">
        <v>6</v>
      </c>
      <c r="B8" s="10" t="n">
        <v>8</v>
      </c>
      <c r="C8" s="11" t="s">
        <v>275</v>
      </c>
      <c r="D8" s="16" t="s">
        <v>276</v>
      </c>
      <c r="E8" s="12" t="n">
        <v>16</v>
      </c>
      <c r="F8" s="11"/>
    </row>
    <row r="9" customFormat="false" ht="15" hidden="false" customHeight="false" outlineLevel="0" collapsed="false">
      <c r="A9" s="10" t="n">
        <v>7</v>
      </c>
      <c r="B9" s="10" t="n">
        <v>8</v>
      </c>
      <c r="C9" s="11" t="s">
        <v>277</v>
      </c>
      <c r="D9" s="16" t="s">
        <v>278</v>
      </c>
      <c r="E9" s="12" t="n">
        <v>5</v>
      </c>
      <c r="F9" s="11"/>
    </row>
    <row r="10" customFormat="false" ht="15" hidden="false" customHeight="false" outlineLevel="0" collapsed="false">
      <c r="A10" s="10" t="n">
        <v>8</v>
      </c>
      <c r="B10" s="10" t="n">
        <v>8</v>
      </c>
      <c r="C10" s="11" t="s">
        <v>279</v>
      </c>
      <c r="D10" s="16" t="s">
        <v>278</v>
      </c>
      <c r="E10" s="12" t="n">
        <v>5</v>
      </c>
      <c r="F10" s="11"/>
    </row>
    <row r="11" customFormat="false" ht="15" hidden="false" customHeight="false" outlineLevel="0" collapsed="false">
      <c r="A11" s="10" t="n">
        <v>9</v>
      </c>
      <c r="B11" s="10" t="n">
        <v>8</v>
      </c>
      <c r="C11" s="11" t="s">
        <v>280</v>
      </c>
      <c r="D11" s="16" t="s">
        <v>281</v>
      </c>
      <c r="E11" s="12" t="n">
        <v>11</v>
      </c>
      <c r="F11" s="11" t="s">
        <v>282</v>
      </c>
    </row>
    <row r="12" customFormat="false" ht="15" hidden="false" customHeight="false" outlineLevel="0" collapsed="false">
      <c r="A12" s="10" t="n">
        <v>10</v>
      </c>
      <c r="B12" s="10" t="n">
        <v>8</v>
      </c>
      <c r="C12" s="11" t="s">
        <v>283</v>
      </c>
      <c r="D12" s="16" t="s">
        <v>284</v>
      </c>
      <c r="E12" s="12" t="n">
        <v>4</v>
      </c>
      <c r="F12" s="11" t="s">
        <v>285</v>
      </c>
    </row>
    <row r="13" customFormat="false" ht="22.35" hidden="false" customHeight="false" outlineLevel="0" collapsed="false">
      <c r="A13" s="10" t="n">
        <v>11</v>
      </c>
      <c r="B13" s="10" t="n">
        <v>8</v>
      </c>
      <c r="C13" s="11" t="s">
        <v>286</v>
      </c>
      <c r="D13" s="16" t="s">
        <v>287</v>
      </c>
      <c r="E13" s="12" t="n">
        <v>49</v>
      </c>
      <c r="F13" s="11" t="s">
        <v>288</v>
      </c>
    </row>
    <row r="14" customFormat="false" ht="15" hidden="false" customHeight="false" outlineLevel="0" collapsed="false">
      <c r="A14" s="10" t="n">
        <v>12</v>
      </c>
      <c r="B14" s="10" t="n">
        <v>8</v>
      </c>
      <c r="C14" s="11" t="s">
        <v>289</v>
      </c>
      <c r="D14" s="16" t="s">
        <v>290</v>
      </c>
      <c r="E14" s="12" t="n">
        <v>19</v>
      </c>
      <c r="F14" s="11" t="s">
        <v>291</v>
      </c>
    </row>
    <row r="15" customFormat="false" ht="22.35" hidden="false" customHeight="false" outlineLevel="0" collapsed="false">
      <c r="A15" s="10" t="n">
        <v>13</v>
      </c>
      <c r="B15" s="10" t="n">
        <v>8</v>
      </c>
      <c r="C15" s="11" t="s">
        <v>292</v>
      </c>
      <c r="D15" s="16" t="s">
        <v>293</v>
      </c>
      <c r="E15" s="12" t="n">
        <v>0</v>
      </c>
      <c r="F15" s="11" t="s">
        <v>294</v>
      </c>
    </row>
    <row r="16" customFormat="false" ht="15" hidden="false" customHeight="false" outlineLevel="0" collapsed="false">
      <c r="A16" s="10" t="n">
        <v>14</v>
      </c>
      <c r="B16" s="10" t="n">
        <v>8</v>
      </c>
      <c r="C16" s="11" t="s">
        <v>295</v>
      </c>
      <c r="D16" s="16" t="s">
        <v>296</v>
      </c>
      <c r="E16" s="12" t="n">
        <v>11</v>
      </c>
      <c r="F16" s="11"/>
    </row>
    <row r="17" customFormat="false" ht="15" hidden="false" customHeight="false" outlineLevel="0" collapsed="false">
      <c r="A17" s="10" t="n">
        <v>15</v>
      </c>
      <c r="B17" s="10" t="n">
        <v>8</v>
      </c>
      <c r="C17" s="11" t="s">
        <v>297</v>
      </c>
      <c r="D17" s="16" t="s">
        <v>298</v>
      </c>
      <c r="E17" s="12" t="n">
        <v>9</v>
      </c>
      <c r="F17" s="11"/>
    </row>
    <row r="18" customFormat="false" ht="15" hidden="false" customHeight="false" outlineLevel="0" collapsed="false">
      <c r="A18" s="10" t="n">
        <v>16</v>
      </c>
      <c r="B18" s="10" t="n">
        <v>11</v>
      </c>
      <c r="C18" s="11" t="s">
        <v>299</v>
      </c>
      <c r="D18" s="16" t="s">
        <v>300</v>
      </c>
      <c r="E18" s="12" t="n">
        <v>11</v>
      </c>
      <c r="F18" s="11"/>
    </row>
    <row r="19" customFormat="false" ht="15" hidden="false" customHeight="false" outlineLevel="0" collapsed="false">
      <c r="A19" s="10" t="n">
        <v>17</v>
      </c>
      <c r="B19" s="10" t="n">
        <v>11</v>
      </c>
      <c r="C19" s="11" t="s">
        <v>301</v>
      </c>
      <c r="D19" s="16" t="s">
        <v>302</v>
      </c>
      <c r="E19" s="12" t="n">
        <v>0</v>
      </c>
      <c r="F19" s="11" t="s">
        <v>303</v>
      </c>
    </row>
    <row r="20" customFormat="false" ht="15" hidden="false" customHeight="false" outlineLevel="0" collapsed="false">
      <c r="A20" s="10" t="n">
        <v>18</v>
      </c>
      <c r="B20" s="10" t="n">
        <v>11</v>
      </c>
      <c r="C20" s="11" t="s">
        <v>304</v>
      </c>
      <c r="D20" s="16" t="s">
        <v>305</v>
      </c>
      <c r="E20" s="12" t="n">
        <v>0</v>
      </c>
      <c r="F20" s="11" t="s">
        <v>306</v>
      </c>
    </row>
    <row r="21" customFormat="false" ht="22.35" hidden="false" customHeight="false" outlineLevel="0" collapsed="false">
      <c r="A21" s="10" t="n">
        <v>19</v>
      </c>
      <c r="B21" s="10" t="n">
        <v>14</v>
      </c>
      <c r="C21" s="11" t="s">
        <v>261</v>
      </c>
      <c r="D21" s="16" t="s">
        <v>307</v>
      </c>
      <c r="E21" s="12" t="n">
        <v>0</v>
      </c>
      <c r="F21" s="11" t="s">
        <v>308</v>
      </c>
    </row>
    <row r="22" customFormat="false" ht="15" hidden="false" customHeight="false" outlineLevel="0" collapsed="false">
      <c r="A22" s="10" t="n">
        <v>20</v>
      </c>
      <c r="B22" s="10" t="n">
        <v>14</v>
      </c>
      <c r="C22" s="11" t="s">
        <v>309</v>
      </c>
      <c r="D22" s="16" t="s">
        <v>269</v>
      </c>
      <c r="E22" s="12" t="n">
        <v>14</v>
      </c>
      <c r="F22" s="11"/>
    </row>
    <row r="23" customFormat="false" ht="15" hidden="false" customHeight="false" outlineLevel="0" collapsed="false">
      <c r="A23" s="10" t="n">
        <v>21</v>
      </c>
      <c r="B23" s="10" t="n">
        <v>14</v>
      </c>
      <c r="C23" s="11" t="s">
        <v>309</v>
      </c>
      <c r="D23" s="16" t="s">
        <v>310</v>
      </c>
      <c r="E23" s="12" t="n">
        <v>0</v>
      </c>
      <c r="F23" s="11" t="s">
        <v>311</v>
      </c>
    </row>
    <row r="24" customFormat="false" ht="15" hidden="false" customHeight="false" outlineLevel="0" collapsed="false">
      <c r="A24" s="10" t="n">
        <v>22</v>
      </c>
      <c r="B24" s="10" t="n">
        <v>14</v>
      </c>
      <c r="C24" s="11" t="s">
        <v>312</v>
      </c>
      <c r="D24" s="16" t="s">
        <v>278</v>
      </c>
      <c r="E24" s="12" t="n">
        <v>5</v>
      </c>
      <c r="F24" s="11"/>
    </row>
    <row r="25" customFormat="false" ht="22.35" hidden="false" customHeight="false" outlineLevel="0" collapsed="false">
      <c r="A25" s="10" t="n">
        <v>23</v>
      </c>
      <c r="B25" s="10" t="n">
        <v>14</v>
      </c>
      <c r="C25" s="11" t="s">
        <v>286</v>
      </c>
      <c r="D25" s="16" t="s">
        <v>313</v>
      </c>
      <c r="E25" s="12" t="n">
        <v>33.8</v>
      </c>
      <c r="F25" s="11" t="s">
        <v>314</v>
      </c>
    </row>
    <row r="26" customFormat="false" ht="15" hidden="false" customHeight="false" outlineLevel="0" collapsed="false">
      <c r="A26" s="10" t="n">
        <v>24</v>
      </c>
      <c r="B26" s="10" t="n">
        <v>14</v>
      </c>
      <c r="C26" s="11" t="s">
        <v>289</v>
      </c>
      <c r="D26" s="16" t="s">
        <v>315</v>
      </c>
      <c r="E26" s="12" t="n">
        <v>0</v>
      </c>
      <c r="F26" s="11" t="s">
        <v>316</v>
      </c>
    </row>
    <row r="27" customFormat="false" ht="22.35" hidden="false" customHeight="false" outlineLevel="0" collapsed="false">
      <c r="A27" s="10" t="n">
        <v>25</v>
      </c>
      <c r="B27" s="10" t="n">
        <v>14</v>
      </c>
      <c r="C27" s="11" t="s">
        <v>292</v>
      </c>
      <c r="D27" s="16" t="s">
        <v>317</v>
      </c>
      <c r="E27" s="12" t="n">
        <v>0</v>
      </c>
      <c r="F27" s="11"/>
    </row>
    <row r="28" customFormat="false" ht="15" hidden="false" customHeight="false" outlineLevel="0" collapsed="false">
      <c r="A28" s="10" t="n">
        <v>26</v>
      </c>
      <c r="B28" s="10" t="n">
        <v>14</v>
      </c>
      <c r="C28" s="11" t="s">
        <v>318</v>
      </c>
      <c r="D28" s="16" t="s">
        <v>319</v>
      </c>
      <c r="E28" s="12" t="n">
        <v>0</v>
      </c>
      <c r="F28" s="11"/>
    </row>
    <row r="29" customFormat="false" ht="15" hidden="false" customHeight="false" outlineLevel="0" collapsed="false">
      <c r="A29" s="10" t="n">
        <v>27</v>
      </c>
      <c r="B29" s="10" t="n">
        <v>14</v>
      </c>
      <c r="C29" s="11" t="s">
        <v>283</v>
      </c>
      <c r="D29" s="16" t="s">
        <v>320</v>
      </c>
      <c r="E29" s="12" t="n">
        <v>0</v>
      </c>
      <c r="F29" s="11"/>
    </row>
    <row r="30" customFormat="false" ht="15" hidden="false" customHeight="false" outlineLevel="0" collapsed="false">
      <c r="A30" s="10" t="n">
        <v>28</v>
      </c>
      <c r="B30" s="10" t="n">
        <v>14</v>
      </c>
      <c r="C30" s="11" t="s">
        <v>321</v>
      </c>
      <c r="D30" s="16" t="s">
        <v>322</v>
      </c>
      <c r="E30" s="12" t="n">
        <v>7</v>
      </c>
      <c r="F30" s="11"/>
    </row>
    <row r="31" customFormat="false" ht="15" hidden="false" customHeight="false" outlineLevel="0" collapsed="false">
      <c r="A31" s="10" t="n">
        <v>29</v>
      </c>
      <c r="B31" s="10" t="n">
        <v>16</v>
      </c>
      <c r="C31" s="11" t="s">
        <v>323</v>
      </c>
      <c r="D31" s="16" t="s">
        <v>324</v>
      </c>
      <c r="E31" s="12" t="n">
        <v>0</v>
      </c>
      <c r="F31" s="11" t="s">
        <v>325</v>
      </c>
    </row>
    <row r="32" customFormat="false" ht="15" hidden="false" customHeight="false" outlineLevel="0" collapsed="false">
      <c r="A32" s="10" t="n">
        <v>30</v>
      </c>
      <c r="B32" s="10" t="n">
        <v>16</v>
      </c>
      <c r="C32" s="11" t="s">
        <v>326</v>
      </c>
      <c r="D32" s="16" t="s">
        <v>327</v>
      </c>
      <c r="E32" s="12" t="n">
        <v>0</v>
      </c>
      <c r="F32" s="11"/>
    </row>
    <row r="33" customFormat="false" ht="15" hidden="false" customHeight="false" outlineLevel="0" collapsed="false">
      <c r="A33" s="10" t="n">
        <v>31</v>
      </c>
      <c r="B33" s="10" t="n">
        <v>16</v>
      </c>
      <c r="C33" s="11" t="s">
        <v>328</v>
      </c>
      <c r="D33" s="16" t="s">
        <v>329</v>
      </c>
      <c r="E33" s="12" t="n">
        <v>0</v>
      </c>
      <c r="F33" s="11"/>
    </row>
    <row r="34" customFormat="false" ht="15" hidden="false" customHeight="false" outlineLevel="0" collapsed="false">
      <c r="A34" s="10" t="n">
        <v>32</v>
      </c>
      <c r="B34" s="10" t="n">
        <v>16</v>
      </c>
      <c r="C34" s="11" t="s">
        <v>330</v>
      </c>
      <c r="D34" s="16" t="s">
        <v>331</v>
      </c>
      <c r="E34" s="12" t="n">
        <v>0</v>
      </c>
      <c r="F34" s="11"/>
    </row>
    <row r="35" customFormat="false" ht="15" hidden="false" customHeight="false" outlineLevel="0" collapsed="false">
      <c r="A35" s="10" t="n">
        <v>33</v>
      </c>
      <c r="B35" s="10" t="n">
        <v>16</v>
      </c>
      <c r="C35" s="11" t="s">
        <v>332</v>
      </c>
      <c r="D35" s="16" t="s">
        <v>333</v>
      </c>
      <c r="E35" s="12" t="n">
        <v>0</v>
      </c>
      <c r="F35" s="11" t="s">
        <v>334</v>
      </c>
    </row>
    <row r="36" customFormat="false" ht="15" hidden="false" customHeight="false" outlineLevel="0" collapsed="false">
      <c r="A36" s="10" t="n">
        <v>34</v>
      </c>
      <c r="B36" s="10" t="n">
        <v>16</v>
      </c>
      <c r="C36" s="11" t="s">
        <v>335</v>
      </c>
      <c r="D36" s="16" t="s">
        <v>79</v>
      </c>
      <c r="E36" s="12" t="n">
        <v>0</v>
      </c>
      <c r="F36" s="11"/>
    </row>
    <row r="37" customFormat="false" ht="15" hidden="false" customHeight="false" outlineLevel="0" collapsed="false">
      <c r="A37" s="13"/>
      <c r="B37" s="13"/>
      <c r="C37" s="13"/>
      <c r="D37" s="14" t="s">
        <v>257</v>
      </c>
      <c r="E37" s="15" t="n">
        <f aca="false">SUM(E3:E36)</f>
        <v>429.8</v>
      </c>
      <c r="F37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5" t="s">
        <v>336</v>
      </c>
      <c r="B1" s="5"/>
      <c r="C1" s="5"/>
    </row>
    <row r="2" customFormat="false" ht="15" hidden="false" customHeight="false" outlineLevel="0" collapsed="false">
      <c r="A2" s="6" t="s">
        <v>64</v>
      </c>
      <c r="B2" s="6" t="s">
        <v>67</v>
      </c>
      <c r="C2" s="6" t="s">
        <v>337</v>
      </c>
      <c r="E2" s="17" t="s">
        <v>338</v>
      </c>
      <c r="F2" s="18" t="n">
        <f aca="false">SUMIF(C3:C68,"Débito",B3:B68)</f>
        <v>798.2</v>
      </c>
    </row>
    <row r="3" customFormat="false" ht="15" hidden="false" customHeight="false" outlineLevel="0" collapsed="false">
      <c r="A3" s="10" t="n">
        <v>1</v>
      </c>
      <c r="B3" s="12" t="n">
        <v>18</v>
      </c>
      <c r="C3" s="10" t="s">
        <v>74</v>
      </c>
      <c r="E3" s="17" t="s">
        <v>339</v>
      </c>
      <c r="F3" s="18" t="n">
        <f aca="false">SUMIF(C3:C68,"Crédito",B3:B68)</f>
        <v>343</v>
      </c>
    </row>
    <row r="4" customFormat="false" ht="15" hidden="false" customHeight="false" outlineLevel="0" collapsed="false">
      <c r="A4" s="10" t="n">
        <v>2</v>
      </c>
      <c r="B4" s="12" t="n">
        <v>7.2</v>
      </c>
      <c r="C4" s="10" t="s">
        <v>74</v>
      </c>
    </row>
    <row r="5" customFormat="false" ht="15" hidden="false" customHeight="true" outlineLevel="0" collapsed="false">
      <c r="A5" s="10" t="n">
        <v>3</v>
      </c>
      <c r="B5" s="12" t="n">
        <v>29</v>
      </c>
      <c r="C5" s="10" t="s">
        <v>74</v>
      </c>
      <c r="E5" s="19" t="s">
        <v>340</v>
      </c>
      <c r="F5" s="19"/>
    </row>
    <row r="6" customFormat="false" ht="15" hidden="false" customHeight="false" outlineLevel="0" collapsed="false">
      <c r="A6" s="10" t="n">
        <v>4</v>
      </c>
      <c r="B6" s="12" t="n">
        <v>18</v>
      </c>
      <c r="C6" s="10" t="s">
        <v>74</v>
      </c>
      <c r="E6" s="19"/>
      <c r="F6" s="19"/>
    </row>
    <row r="7" customFormat="false" ht="15" hidden="false" customHeight="false" outlineLevel="0" collapsed="false">
      <c r="A7" s="10" t="n">
        <v>5</v>
      </c>
      <c r="B7" s="12" t="n">
        <v>12</v>
      </c>
      <c r="C7" s="10" t="s">
        <v>74</v>
      </c>
      <c r="E7" s="19"/>
      <c r="F7" s="19"/>
    </row>
    <row r="8" customFormat="false" ht="15" hidden="false" customHeight="false" outlineLevel="0" collapsed="false">
      <c r="A8" s="10" t="n">
        <v>6</v>
      </c>
      <c r="B8" s="12" t="n">
        <v>15</v>
      </c>
      <c r="C8" s="10" t="s">
        <v>74</v>
      </c>
      <c r="E8" s="19"/>
      <c r="F8" s="19"/>
    </row>
    <row r="9" customFormat="false" ht="15" hidden="false" customHeight="false" outlineLevel="0" collapsed="false">
      <c r="A9" s="10" t="n">
        <v>7</v>
      </c>
      <c r="B9" s="12" t="n">
        <v>8</v>
      </c>
      <c r="C9" s="10" t="s">
        <v>74</v>
      </c>
      <c r="E9" s="19"/>
      <c r="F9" s="19"/>
    </row>
    <row r="10" customFormat="false" ht="15" hidden="false" customHeight="false" outlineLevel="0" collapsed="false">
      <c r="A10" s="10" t="n">
        <v>8</v>
      </c>
      <c r="B10" s="12" t="n">
        <v>18</v>
      </c>
      <c r="C10" s="10" t="s">
        <v>78</v>
      </c>
    </row>
    <row r="11" customFormat="false" ht="15" hidden="false" customHeight="false" outlineLevel="0" collapsed="false">
      <c r="A11" s="10" t="n">
        <v>9</v>
      </c>
      <c r="B11" s="12" t="n">
        <v>8</v>
      </c>
      <c r="C11" s="10" t="s">
        <v>78</v>
      </c>
    </row>
    <row r="12" customFormat="false" ht="15" hidden="false" customHeight="false" outlineLevel="0" collapsed="false">
      <c r="A12" s="10" t="n">
        <v>10</v>
      </c>
      <c r="B12" s="12" t="n">
        <v>16</v>
      </c>
      <c r="C12" s="10" t="s">
        <v>74</v>
      </c>
    </row>
    <row r="13" customFormat="false" ht="15" hidden="false" customHeight="false" outlineLevel="0" collapsed="false">
      <c r="A13" s="10" t="n">
        <v>11</v>
      </c>
      <c r="B13" s="12" t="n">
        <v>47</v>
      </c>
      <c r="C13" s="10" t="s">
        <v>78</v>
      </c>
    </row>
    <row r="14" customFormat="false" ht="15" hidden="false" customHeight="false" outlineLevel="0" collapsed="false">
      <c r="A14" s="10" t="n">
        <v>12</v>
      </c>
      <c r="B14" s="12" t="n">
        <v>4</v>
      </c>
      <c r="C14" s="10" t="s">
        <v>78</v>
      </c>
    </row>
    <row r="15" customFormat="false" ht="15" hidden="false" customHeight="false" outlineLevel="0" collapsed="false">
      <c r="A15" s="10" t="n">
        <v>13</v>
      </c>
      <c r="B15" s="12" t="n">
        <v>9</v>
      </c>
      <c r="C15" s="10" t="s">
        <v>78</v>
      </c>
    </row>
    <row r="16" customFormat="false" ht="15" hidden="false" customHeight="false" outlineLevel="0" collapsed="false">
      <c r="A16" s="10" t="n">
        <v>14</v>
      </c>
      <c r="B16" s="12" t="n">
        <v>8</v>
      </c>
      <c r="C16" s="10" t="s">
        <v>74</v>
      </c>
    </row>
    <row r="17" customFormat="false" ht="15" hidden="false" customHeight="false" outlineLevel="0" collapsed="false">
      <c r="A17" s="10" t="n">
        <v>15</v>
      </c>
      <c r="B17" s="12" t="n">
        <v>19</v>
      </c>
      <c r="C17" s="10" t="s">
        <v>78</v>
      </c>
    </row>
    <row r="18" customFormat="false" ht="15" hidden="false" customHeight="false" outlineLevel="0" collapsed="false">
      <c r="A18" s="10" t="n">
        <v>16</v>
      </c>
      <c r="B18" s="12" t="n">
        <v>14</v>
      </c>
      <c r="C18" s="10" t="s">
        <v>78</v>
      </c>
    </row>
    <row r="19" customFormat="false" ht="15" hidden="false" customHeight="false" outlineLevel="0" collapsed="false">
      <c r="A19" s="10" t="n">
        <v>17</v>
      </c>
      <c r="B19" s="12" t="n">
        <v>38</v>
      </c>
      <c r="C19" s="10" t="s">
        <v>74</v>
      </c>
    </row>
    <row r="20" customFormat="false" ht="15" hidden="false" customHeight="false" outlineLevel="0" collapsed="false">
      <c r="A20" s="10" t="n">
        <v>18</v>
      </c>
      <c r="B20" s="12" t="n">
        <v>10</v>
      </c>
      <c r="C20" s="10" t="s">
        <v>74</v>
      </c>
    </row>
    <row r="21" customFormat="false" ht="15" hidden="false" customHeight="false" outlineLevel="0" collapsed="false">
      <c r="A21" s="10" t="n">
        <v>19</v>
      </c>
      <c r="B21" s="12" t="n">
        <v>36</v>
      </c>
      <c r="C21" s="10" t="s">
        <v>74</v>
      </c>
    </row>
    <row r="22" customFormat="false" ht="15" hidden="false" customHeight="false" outlineLevel="0" collapsed="false">
      <c r="A22" s="10" t="n">
        <v>20</v>
      </c>
      <c r="B22" s="12" t="n">
        <v>4</v>
      </c>
      <c r="C22" s="10" t="s">
        <v>78</v>
      </c>
    </row>
    <row r="23" customFormat="false" ht="15" hidden="false" customHeight="false" outlineLevel="0" collapsed="false">
      <c r="A23" s="10" t="n">
        <v>21</v>
      </c>
      <c r="B23" s="12" t="n">
        <v>11</v>
      </c>
      <c r="C23" s="10" t="s">
        <v>74</v>
      </c>
    </row>
    <row r="24" customFormat="false" ht="15" hidden="false" customHeight="false" outlineLevel="0" collapsed="false">
      <c r="A24" s="10" t="n">
        <v>22</v>
      </c>
      <c r="B24" s="12" t="n">
        <v>24</v>
      </c>
      <c r="C24" s="10" t="s">
        <v>78</v>
      </c>
    </row>
    <row r="25" customFormat="false" ht="15" hidden="false" customHeight="false" outlineLevel="0" collapsed="false">
      <c r="A25" s="10" t="n">
        <v>23</v>
      </c>
      <c r="B25" s="12" t="n">
        <v>9</v>
      </c>
      <c r="C25" s="10" t="s">
        <v>74</v>
      </c>
    </row>
    <row r="26" customFormat="false" ht="15" hidden="false" customHeight="false" outlineLevel="0" collapsed="false">
      <c r="A26" s="10" t="n">
        <v>24</v>
      </c>
      <c r="B26" s="12" t="n">
        <v>33</v>
      </c>
      <c r="C26" s="10" t="s">
        <v>74</v>
      </c>
    </row>
    <row r="27" customFormat="false" ht="15" hidden="false" customHeight="false" outlineLevel="0" collapsed="false">
      <c r="A27" s="10" t="n">
        <v>25</v>
      </c>
      <c r="B27" s="12" t="n">
        <v>8</v>
      </c>
      <c r="C27" s="10" t="s">
        <v>74</v>
      </c>
    </row>
    <row r="28" customFormat="false" ht="15" hidden="false" customHeight="false" outlineLevel="0" collapsed="false">
      <c r="A28" s="10" t="n">
        <v>26</v>
      </c>
      <c r="B28" s="12" t="n">
        <v>8</v>
      </c>
      <c r="C28" s="10" t="s">
        <v>74</v>
      </c>
    </row>
    <row r="29" customFormat="false" ht="15" hidden="false" customHeight="false" outlineLevel="0" collapsed="false">
      <c r="A29" s="10" t="n">
        <v>27</v>
      </c>
      <c r="B29" s="12" t="n">
        <v>8</v>
      </c>
      <c r="C29" s="10" t="s">
        <v>74</v>
      </c>
    </row>
    <row r="30" customFormat="false" ht="15" hidden="false" customHeight="false" outlineLevel="0" collapsed="false">
      <c r="A30" s="10" t="n">
        <v>28</v>
      </c>
      <c r="B30" s="12" t="n">
        <v>21</v>
      </c>
      <c r="C30" s="10" t="s">
        <v>74</v>
      </c>
    </row>
    <row r="31" customFormat="false" ht="15" hidden="false" customHeight="false" outlineLevel="0" collapsed="false">
      <c r="A31" s="10" t="n">
        <v>29</v>
      </c>
      <c r="B31" s="12" t="n">
        <v>33</v>
      </c>
      <c r="C31" s="10" t="s">
        <v>78</v>
      </c>
    </row>
    <row r="32" customFormat="false" ht="15" hidden="false" customHeight="false" outlineLevel="0" collapsed="false">
      <c r="A32" s="10" t="n">
        <v>30</v>
      </c>
      <c r="B32" s="12" t="n">
        <v>41</v>
      </c>
      <c r="C32" s="10" t="s">
        <v>74</v>
      </c>
    </row>
    <row r="33" customFormat="false" ht="15" hidden="false" customHeight="false" outlineLevel="0" collapsed="false">
      <c r="A33" s="10" t="n">
        <v>31</v>
      </c>
      <c r="B33" s="12" t="n">
        <v>13</v>
      </c>
      <c r="C33" s="10" t="s">
        <v>74</v>
      </c>
    </row>
    <row r="34" customFormat="false" ht="15" hidden="false" customHeight="false" outlineLevel="0" collapsed="false">
      <c r="A34" s="10" t="n">
        <v>32</v>
      </c>
      <c r="B34" s="12" t="n">
        <v>50</v>
      </c>
      <c r="C34" s="10" t="s">
        <v>74</v>
      </c>
    </row>
    <row r="35" customFormat="false" ht="15" hidden="false" customHeight="false" outlineLevel="0" collapsed="false">
      <c r="A35" s="10" t="n">
        <v>33</v>
      </c>
      <c r="B35" s="12" t="n">
        <v>30</v>
      </c>
      <c r="C35" s="10" t="s">
        <v>78</v>
      </c>
    </row>
    <row r="36" customFormat="false" ht="15" hidden="false" customHeight="false" outlineLevel="0" collapsed="false">
      <c r="A36" s="10" t="n">
        <v>34</v>
      </c>
      <c r="B36" s="12" t="n">
        <v>31</v>
      </c>
      <c r="C36" s="10" t="s">
        <v>74</v>
      </c>
    </row>
    <row r="37" customFormat="false" ht="15" hidden="false" customHeight="false" outlineLevel="0" collapsed="false">
      <c r="A37" s="10" t="n">
        <v>35</v>
      </c>
      <c r="B37" s="12" t="n">
        <v>4</v>
      </c>
      <c r="C37" s="10" t="s">
        <v>78</v>
      </c>
    </row>
    <row r="38" customFormat="false" ht="15" hidden="false" customHeight="false" outlineLevel="0" collapsed="false">
      <c r="A38" s="10" t="n">
        <v>36</v>
      </c>
      <c r="B38" s="12" t="n">
        <v>10</v>
      </c>
      <c r="C38" s="10" t="s">
        <v>74</v>
      </c>
    </row>
    <row r="39" customFormat="false" ht="15" hidden="false" customHeight="false" outlineLevel="0" collapsed="false">
      <c r="A39" s="10" t="n">
        <v>37</v>
      </c>
      <c r="B39" s="12" t="n">
        <v>5</v>
      </c>
      <c r="C39" s="10" t="s">
        <v>74</v>
      </c>
    </row>
    <row r="40" customFormat="false" ht="15" hidden="false" customHeight="false" outlineLevel="0" collapsed="false">
      <c r="A40" s="10" t="n">
        <v>38</v>
      </c>
      <c r="B40" s="12" t="n">
        <v>8</v>
      </c>
      <c r="C40" s="10" t="s">
        <v>74</v>
      </c>
    </row>
    <row r="41" customFormat="false" ht="15" hidden="false" customHeight="false" outlineLevel="0" collapsed="false">
      <c r="A41" s="10" t="n">
        <v>39</v>
      </c>
      <c r="B41" s="12" t="n">
        <v>7</v>
      </c>
      <c r="C41" s="10" t="s">
        <v>78</v>
      </c>
    </row>
    <row r="42" customFormat="false" ht="15" hidden="false" customHeight="false" outlineLevel="0" collapsed="false">
      <c r="A42" s="10" t="n">
        <v>40</v>
      </c>
      <c r="B42" s="12" t="n">
        <v>26</v>
      </c>
      <c r="C42" s="10" t="s">
        <v>74</v>
      </c>
    </row>
    <row r="43" customFormat="false" ht="15" hidden="false" customHeight="false" outlineLevel="0" collapsed="false">
      <c r="A43" s="10" t="n">
        <v>41</v>
      </c>
      <c r="B43" s="12" t="n">
        <v>4</v>
      </c>
      <c r="C43" s="10" t="s">
        <v>78</v>
      </c>
    </row>
    <row r="44" customFormat="false" ht="15" hidden="false" customHeight="false" outlineLevel="0" collapsed="false">
      <c r="A44" s="10" t="n">
        <v>42</v>
      </c>
      <c r="B44" s="12" t="n">
        <v>23</v>
      </c>
      <c r="C44" s="10" t="s">
        <v>74</v>
      </c>
    </row>
    <row r="45" customFormat="false" ht="15" hidden="false" customHeight="false" outlineLevel="0" collapsed="false">
      <c r="A45" s="10" t="n">
        <v>43</v>
      </c>
      <c r="B45" s="12" t="n">
        <v>12</v>
      </c>
      <c r="C45" s="10" t="s">
        <v>74</v>
      </c>
    </row>
    <row r="46" customFormat="false" ht="15" hidden="false" customHeight="false" outlineLevel="0" collapsed="false">
      <c r="A46" s="10" t="n">
        <v>44</v>
      </c>
      <c r="B46" s="12" t="n">
        <v>36</v>
      </c>
      <c r="C46" s="10" t="s">
        <v>74</v>
      </c>
    </row>
    <row r="47" customFormat="false" ht="15" hidden="false" customHeight="false" outlineLevel="0" collapsed="false">
      <c r="A47" s="10" t="n">
        <v>45</v>
      </c>
      <c r="B47" s="12" t="n">
        <v>20</v>
      </c>
      <c r="C47" s="10" t="s">
        <v>74</v>
      </c>
    </row>
    <row r="48" customFormat="false" ht="15" hidden="false" customHeight="false" outlineLevel="0" collapsed="false">
      <c r="A48" s="10" t="n">
        <v>46</v>
      </c>
      <c r="B48" s="12" t="n">
        <v>12</v>
      </c>
      <c r="C48" s="10" t="s">
        <v>74</v>
      </c>
    </row>
    <row r="49" customFormat="false" ht="15" hidden="false" customHeight="false" outlineLevel="0" collapsed="false">
      <c r="A49" s="10" t="n">
        <v>47</v>
      </c>
      <c r="B49" s="12" t="n">
        <v>20</v>
      </c>
      <c r="C49" s="10" t="s">
        <v>74</v>
      </c>
    </row>
    <row r="50" customFormat="false" ht="15" hidden="false" customHeight="false" outlineLevel="0" collapsed="false">
      <c r="A50" s="10" t="n">
        <v>48</v>
      </c>
      <c r="B50" s="12" t="n">
        <v>21</v>
      </c>
      <c r="C50" s="10" t="s">
        <v>74</v>
      </c>
    </row>
    <row r="51" customFormat="false" ht="15" hidden="false" customHeight="false" outlineLevel="0" collapsed="false">
      <c r="A51" s="10" t="n">
        <v>49</v>
      </c>
      <c r="B51" s="12" t="n">
        <v>4</v>
      </c>
      <c r="C51" s="10" t="s">
        <v>78</v>
      </c>
    </row>
    <row r="52" customFormat="false" ht="15" hidden="false" customHeight="false" outlineLevel="0" collapsed="false">
      <c r="A52" s="10" t="n">
        <v>50</v>
      </c>
      <c r="B52" s="12" t="n">
        <v>11</v>
      </c>
      <c r="C52" s="10" t="s">
        <v>74</v>
      </c>
    </row>
    <row r="53" customFormat="false" ht="15" hidden="false" customHeight="false" outlineLevel="0" collapsed="false">
      <c r="A53" s="10" t="n">
        <v>51</v>
      </c>
      <c r="B53" s="12" t="n">
        <v>5</v>
      </c>
      <c r="C53" s="10" t="s">
        <v>78</v>
      </c>
    </row>
    <row r="54" customFormat="false" ht="15" hidden="false" customHeight="false" outlineLevel="0" collapsed="false">
      <c r="A54" s="10" t="n">
        <v>52</v>
      </c>
      <c r="B54" s="12" t="n">
        <v>25</v>
      </c>
      <c r="C54" s="10" t="s">
        <v>74</v>
      </c>
    </row>
    <row r="55" customFormat="false" ht="15" hidden="false" customHeight="false" outlineLevel="0" collapsed="false">
      <c r="A55" s="10" t="n">
        <v>53</v>
      </c>
      <c r="B55" s="12" t="n">
        <v>14</v>
      </c>
      <c r="C55" s="10" t="s">
        <v>74</v>
      </c>
    </row>
    <row r="56" customFormat="false" ht="15" hidden="false" customHeight="false" outlineLevel="0" collapsed="false">
      <c r="A56" s="10" t="n">
        <v>54</v>
      </c>
      <c r="B56" s="12" t="n">
        <v>35</v>
      </c>
      <c r="C56" s="10" t="s">
        <v>74</v>
      </c>
    </row>
    <row r="57" customFormat="false" ht="15" hidden="false" customHeight="false" outlineLevel="0" collapsed="false">
      <c r="A57" s="10" t="n">
        <v>55</v>
      </c>
      <c r="B57" s="12" t="n">
        <v>33</v>
      </c>
      <c r="C57" s="10" t="s">
        <v>78</v>
      </c>
    </row>
    <row r="58" customFormat="false" ht="15" hidden="false" customHeight="false" outlineLevel="0" collapsed="false">
      <c r="A58" s="10" t="n">
        <v>56</v>
      </c>
      <c r="B58" s="12" t="n">
        <v>8</v>
      </c>
      <c r="C58" s="10" t="s">
        <v>74</v>
      </c>
    </row>
    <row r="59" customFormat="false" ht="15" hidden="false" customHeight="false" outlineLevel="0" collapsed="false">
      <c r="A59" s="10" t="n">
        <v>57</v>
      </c>
      <c r="B59" s="12" t="n">
        <v>8</v>
      </c>
      <c r="C59" s="10" t="s">
        <v>74</v>
      </c>
    </row>
    <row r="60" customFormat="false" ht="15" hidden="false" customHeight="false" outlineLevel="0" collapsed="false">
      <c r="A60" s="10" t="n">
        <v>58</v>
      </c>
      <c r="B60" s="12" t="n">
        <v>22</v>
      </c>
      <c r="C60" s="10" t="s">
        <v>78</v>
      </c>
    </row>
    <row r="61" customFormat="false" ht="15" hidden="false" customHeight="false" outlineLevel="0" collapsed="false">
      <c r="A61" s="10" t="n">
        <v>59</v>
      </c>
      <c r="B61" s="12" t="n">
        <v>8</v>
      </c>
      <c r="C61" s="10" t="s">
        <v>78</v>
      </c>
    </row>
    <row r="62" customFormat="false" ht="15" hidden="false" customHeight="false" outlineLevel="0" collapsed="false">
      <c r="A62" s="10" t="n">
        <v>60</v>
      </c>
      <c r="B62" s="12" t="n">
        <v>21</v>
      </c>
      <c r="C62" s="10" t="s">
        <v>74</v>
      </c>
    </row>
    <row r="63" customFormat="false" ht="15" hidden="false" customHeight="false" outlineLevel="0" collapsed="false">
      <c r="A63" s="10" t="n">
        <v>61</v>
      </c>
      <c r="B63" s="12" t="n">
        <v>4</v>
      </c>
      <c r="C63" s="10" t="s">
        <v>74</v>
      </c>
    </row>
    <row r="64" customFormat="false" ht="15" hidden="false" customHeight="false" outlineLevel="0" collapsed="false">
      <c r="A64" s="10" t="n">
        <v>62</v>
      </c>
      <c r="B64" s="12" t="n">
        <v>4</v>
      </c>
      <c r="C64" s="10" t="s">
        <v>74</v>
      </c>
    </row>
    <row r="65" customFormat="false" ht="15" hidden="false" customHeight="false" outlineLevel="0" collapsed="false">
      <c r="A65" s="10" t="n">
        <v>63</v>
      </c>
      <c r="B65" s="12" t="n">
        <v>30</v>
      </c>
      <c r="C65" s="10" t="s">
        <v>78</v>
      </c>
    </row>
    <row r="66" customFormat="false" ht="15" hidden="false" customHeight="false" outlineLevel="0" collapsed="false">
      <c r="A66" s="10" t="n">
        <v>64</v>
      </c>
      <c r="B66" s="12" t="n">
        <v>3</v>
      </c>
      <c r="C66" s="10" t="s">
        <v>74</v>
      </c>
    </row>
    <row r="67" customFormat="false" ht="15" hidden="false" customHeight="false" outlineLevel="0" collapsed="false">
      <c r="A67" s="10" t="n">
        <v>65</v>
      </c>
      <c r="B67" s="12" t="n">
        <v>24</v>
      </c>
      <c r="C67" s="10" t="s">
        <v>74</v>
      </c>
    </row>
    <row r="68" customFormat="false" ht="15" hidden="false" customHeight="false" outlineLevel="0" collapsed="false">
      <c r="A68" s="10" t="n">
        <v>66</v>
      </c>
      <c r="B68" s="12" t="n">
        <v>16</v>
      </c>
      <c r="C68" s="10" t="s">
        <v>78</v>
      </c>
    </row>
    <row r="69" customFormat="false" ht="15" hidden="false" customHeight="false" outlineLevel="0" collapsed="false">
      <c r="A69" s="14" t="s">
        <v>257</v>
      </c>
      <c r="B69" s="15" t="n">
        <f aca="false">SUM(B3:B68)</f>
        <v>1141.2</v>
      </c>
      <c r="C69" s="13"/>
    </row>
  </sheetData>
  <mergeCells count="2">
    <mergeCell ref="A1:C1"/>
    <mergeCell ref="E5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25.5" hidden="false" customHeight="true" outlineLevel="0" collapsed="false">
      <c r="A1" s="20" t="s">
        <v>341</v>
      </c>
      <c r="B1" s="20"/>
      <c r="C1" s="20"/>
      <c r="D1" s="20"/>
    </row>
    <row r="2" customFormat="false" ht="15" hidden="false" customHeight="false" outlineLevel="0" collapsed="false">
      <c r="A2" s="21" t="s">
        <v>64</v>
      </c>
      <c r="B2" s="21" t="s">
        <v>342</v>
      </c>
      <c r="C2" s="21" t="s">
        <v>67</v>
      </c>
      <c r="D2" s="21" t="s">
        <v>69</v>
      </c>
    </row>
    <row r="3" customFormat="false" ht="15" hidden="false" customHeight="false" outlineLevel="0" collapsed="false">
      <c r="A3" s="7" t="n">
        <v>1</v>
      </c>
      <c r="B3" s="8" t="s">
        <v>343</v>
      </c>
      <c r="C3" s="18" t="n">
        <v>100</v>
      </c>
      <c r="D3" s="8" t="s">
        <v>344</v>
      </c>
    </row>
    <row r="4" customFormat="false" ht="15" hidden="false" customHeight="false" outlineLevel="0" collapsed="false">
      <c r="A4" s="7" t="n">
        <v>2</v>
      </c>
      <c r="B4" s="8" t="s">
        <v>345</v>
      </c>
      <c r="C4" s="18" t="n">
        <v>600</v>
      </c>
      <c r="D4" s="8" t="s">
        <v>344</v>
      </c>
    </row>
    <row r="5" customFormat="false" ht="15" hidden="false" customHeight="false" outlineLevel="0" collapsed="false">
      <c r="A5" s="7" t="n">
        <v>3</v>
      </c>
      <c r="B5" s="8" t="s">
        <v>346</v>
      </c>
      <c r="C5" s="18" t="n">
        <v>200</v>
      </c>
      <c r="D5" s="8" t="s">
        <v>344</v>
      </c>
    </row>
    <row r="6" customFormat="false" ht="15" hidden="false" customHeight="false" outlineLevel="0" collapsed="false">
      <c r="A6" s="22"/>
      <c r="B6" s="23" t="s">
        <v>347</v>
      </c>
      <c r="C6" s="24" t="n">
        <f aca="false">SUM(C3:C5)</f>
        <v>900</v>
      </c>
      <c r="D6" s="22"/>
    </row>
    <row r="8" customFormat="false" ht="15" hidden="false" customHeight="true" outlineLevel="0" collapsed="false">
      <c r="A8" s="25" t="s">
        <v>348</v>
      </c>
      <c r="B8" s="25"/>
      <c r="C8" s="25"/>
      <c r="D8" s="25"/>
    </row>
    <row r="9" customFormat="false" ht="15" hidden="false" customHeight="false" outlineLevel="0" collapsed="false">
      <c r="A9" s="25"/>
      <c r="B9" s="25"/>
      <c r="C9" s="25"/>
      <c r="D9" s="25"/>
    </row>
    <row r="10" customFormat="false" ht="15" hidden="false" customHeight="false" outlineLevel="0" collapsed="false">
      <c r="A10" s="25"/>
      <c r="B10" s="25"/>
      <c r="C10" s="25"/>
      <c r="D10" s="25"/>
    </row>
  </sheetData>
  <mergeCells count="2">
    <mergeCell ref="A1:D1"/>
    <mergeCell ref="A8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5" t="s">
        <v>349</v>
      </c>
      <c r="B1" s="5"/>
      <c r="C1" s="5"/>
    </row>
    <row r="2" customFormat="false" ht="15" hidden="false" customHeight="false" outlineLevel="0" collapsed="false">
      <c r="A2" s="6" t="s">
        <v>350</v>
      </c>
      <c r="B2" s="6" t="s">
        <v>67</v>
      </c>
      <c r="C2" s="6" t="s">
        <v>69</v>
      </c>
    </row>
    <row r="3" customFormat="false" ht="25.5" hidden="false" customHeight="true" outlineLevel="0" collapsed="false">
      <c r="A3" s="8" t="s">
        <v>351</v>
      </c>
      <c r="B3" s="26" t="n">
        <v>2086</v>
      </c>
      <c r="C3" s="27" t="s">
        <v>352</v>
      </c>
    </row>
    <row r="4" customFormat="false" ht="25.5" hidden="false" customHeight="true" outlineLevel="0" collapsed="false">
      <c r="A4" s="8" t="s">
        <v>353</v>
      </c>
      <c r="B4" s="26" t="n">
        <v>1409.35</v>
      </c>
      <c r="C4" s="27" t="s">
        <v>354</v>
      </c>
    </row>
    <row r="5" customFormat="false" ht="25.5" hidden="false" customHeight="true" outlineLevel="0" collapsed="false">
      <c r="A5" s="8" t="s">
        <v>355</v>
      </c>
      <c r="B5" s="26" t="n">
        <v>2871.73</v>
      </c>
      <c r="C5" s="27" t="s">
        <v>356</v>
      </c>
    </row>
    <row r="6" customFormat="false" ht="25.5" hidden="false" customHeight="true" outlineLevel="0" collapsed="false">
      <c r="A6" s="8" t="s">
        <v>357</v>
      </c>
      <c r="B6" s="28" t="n">
        <f aca="false">Doações!C6</f>
        <v>900</v>
      </c>
      <c r="C6" s="27" t="s">
        <v>358</v>
      </c>
    </row>
    <row r="7" customFormat="false" ht="25.5" hidden="false" customHeight="true" outlineLevel="0" collapsed="false">
      <c r="A7" s="29" t="s">
        <v>359</v>
      </c>
      <c r="B7" s="30" t="n">
        <f aca="false">B3+B4+B5+B6</f>
        <v>7267.08</v>
      </c>
      <c r="C7" s="31" t="s">
        <v>360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8" t="s">
        <v>361</v>
      </c>
    </row>
    <row r="10" customFormat="false" ht="25.5" hidden="false" customHeight="true" outlineLevel="0" collapsed="false">
      <c r="A10" s="8" t="s">
        <v>362</v>
      </c>
      <c r="B10" s="28" t="n">
        <f aca="false">-'Despesas da Festa'!C3</f>
        <v>-200</v>
      </c>
      <c r="C10" s="27" t="s">
        <v>363</v>
      </c>
    </row>
    <row r="11" customFormat="false" ht="25.5" hidden="false" customHeight="true" outlineLevel="0" collapsed="false">
      <c r="A11" s="8" t="s">
        <v>364</v>
      </c>
      <c r="B11" s="28" t="n">
        <f aca="false">-'Despesas da Festa'!C4</f>
        <v>-150</v>
      </c>
      <c r="C11" s="27" t="s">
        <v>365</v>
      </c>
    </row>
    <row r="12" customFormat="false" ht="25.5" hidden="false" customHeight="true" outlineLevel="0" collapsed="false">
      <c r="A12" s="8" t="s">
        <v>366</v>
      </c>
      <c r="B12" s="28" t="n">
        <f aca="false">-'Despesas da Festa'!C5</f>
        <v>-315.49</v>
      </c>
      <c r="C12" s="27" t="s">
        <v>367</v>
      </c>
    </row>
    <row r="13" customFormat="false" ht="25.5" hidden="false" customHeight="true" outlineLevel="0" collapsed="false">
      <c r="A13" s="29" t="s">
        <v>368</v>
      </c>
      <c r="B13" s="30" t="n">
        <f aca="false">B7+B10+B11+B12</f>
        <v>6601.59</v>
      </c>
      <c r="C13" s="31" t="s">
        <v>369</v>
      </c>
    </row>
    <row r="14" customFormat="false" ht="15" hidden="false" customHeight="false" outlineLevel="0" collapsed="false">
      <c r="A14" s="8"/>
    </row>
    <row r="15" customFormat="false" ht="15" hidden="false" customHeight="false" outlineLevel="0" collapsed="false">
      <c r="A15" s="8" t="s">
        <v>370</v>
      </c>
    </row>
    <row r="16" customFormat="false" ht="25.5" hidden="false" customHeight="true" outlineLevel="0" collapsed="false">
      <c r="A16" s="8" t="s">
        <v>371</v>
      </c>
      <c r="B16" s="28" t="n">
        <f aca="false">-'Despesas da Festa'!C6</f>
        <v>-150</v>
      </c>
      <c r="C16" s="27" t="s">
        <v>367</v>
      </c>
    </row>
    <row r="17" customFormat="false" ht="25.5" hidden="false" customHeight="true" outlineLevel="0" collapsed="false">
      <c r="A17" s="8" t="s">
        <v>372</v>
      </c>
      <c r="B17" s="28" t="n">
        <f aca="false">-'Despesas da Festa'!C7</f>
        <v>-400</v>
      </c>
      <c r="C17" s="27" t="s">
        <v>367</v>
      </c>
    </row>
    <row r="18" customFormat="false" ht="25.5" hidden="false" customHeight="true" outlineLevel="0" collapsed="false">
      <c r="A18" s="8" t="s">
        <v>373</v>
      </c>
      <c r="B18" s="28" t="n">
        <f aca="false">-'Despesas da Festa'!C12</f>
        <v>-1128</v>
      </c>
      <c r="C18" s="27" t="s">
        <v>374</v>
      </c>
    </row>
    <row r="19" customFormat="false" ht="15" hidden="false" customHeight="false" outlineLevel="0" collapsed="false">
      <c r="A19" s="8"/>
    </row>
    <row r="20" customFormat="false" ht="25.5" hidden="false" customHeight="true" outlineLevel="0" collapsed="false">
      <c r="A20" s="32" t="s">
        <v>375</v>
      </c>
      <c r="B20" s="33" t="n">
        <f aca="false">B13+B16+B17+B18</f>
        <v>4923.59</v>
      </c>
      <c r="C20" s="34" t="s">
        <v>376</v>
      </c>
    </row>
    <row r="21" customFormat="false" ht="15" hidden="false" customHeight="false" outlineLevel="0" collapsed="false">
      <c r="A21" s="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5" t="s">
        <v>377</v>
      </c>
      <c r="B1" s="5"/>
      <c r="C1" s="5"/>
      <c r="D1" s="5"/>
      <c r="E1" s="5"/>
    </row>
    <row r="2" customFormat="false" ht="26.85" hidden="false" customHeight="false" outlineLevel="0" collapsed="false">
      <c r="A2" s="6" t="s">
        <v>64</v>
      </c>
      <c r="B2" s="6" t="s">
        <v>378</v>
      </c>
      <c r="C2" s="6" t="s">
        <v>67</v>
      </c>
      <c r="D2" s="6" t="s">
        <v>379</v>
      </c>
      <c r="E2" s="6" t="s">
        <v>69</v>
      </c>
    </row>
    <row r="3" customFormat="false" ht="30" hidden="false" customHeight="true" outlineLevel="0" collapsed="false">
      <c r="A3" s="7" t="n">
        <v>1</v>
      </c>
      <c r="B3" s="9" t="s">
        <v>380</v>
      </c>
      <c r="C3" s="18" t="n">
        <v>200</v>
      </c>
      <c r="D3" s="35" t="s">
        <v>381</v>
      </c>
      <c r="E3" s="36" t="s">
        <v>382</v>
      </c>
    </row>
    <row r="4" customFormat="false" ht="30" hidden="false" customHeight="true" outlineLevel="0" collapsed="false">
      <c r="A4" s="7" t="n">
        <v>2</v>
      </c>
      <c r="B4" s="9" t="s">
        <v>364</v>
      </c>
      <c r="C4" s="18" t="n">
        <v>150</v>
      </c>
      <c r="D4" s="35" t="s">
        <v>381</v>
      </c>
      <c r="E4" s="36" t="s">
        <v>383</v>
      </c>
    </row>
    <row r="5" customFormat="false" ht="30" hidden="false" customHeight="true" outlineLevel="0" collapsed="false">
      <c r="A5" s="7" t="n">
        <v>3</v>
      </c>
      <c r="B5" s="9" t="s">
        <v>366</v>
      </c>
      <c r="C5" s="18" t="n">
        <v>315.49</v>
      </c>
      <c r="D5" s="35" t="s">
        <v>381</v>
      </c>
      <c r="E5" s="36" t="s">
        <v>384</v>
      </c>
    </row>
    <row r="6" customFormat="false" ht="30" hidden="false" customHeight="true" outlineLevel="0" collapsed="false">
      <c r="A6" s="7" t="n">
        <v>4</v>
      </c>
      <c r="B6" s="9" t="s">
        <v>371</v>
      </c>
      <c r="C6" s="18" t="n">
        <v>150</v>
      </c>
      <c r="D6" s="35" t="s">
        <v>381</v>
      </c>
      <c r="E6" s="36" t="s">
        <v>385</v>
      </c>
    </row>
    <row r="7" customFormat="false" ht="30" hidden="false" customHeight="true" outlineLevel="0" collapsed="false">
      <c r="A7" s="7" t="n">
        <v>5</v>
      </c>
      <c r="B7" s="9" t="s">
        <v>372</v>
      </c>
      <c r="C7" s="18" t="n">
        <v>400</v>
      </c>
      <c r="D7" s="35" t="s">
        <v>381</v>
      </c>
      <c r="E7" s="36" t="s">
        <v>386</v>
      </c>
    </row>
    <row r="8" customFormat="false" ht="30" hidden="false" customHeight="true" outlineLevel="0" collapsed="false">
      <c r="A8" s="7" t="n">
        <v>6</v>
      </c>
      <c r="B8" s="9" t="s">
        <v>387</v>
      </c>
      <c r="C8" s="18" t="n">
        <v>2062.4</v>
      </c>
      <c r="D8" s="37" t="s">
        <v>388</v>
      </c>
      <c r="E8" s="36" t="s">
        <v>389</v>
      </c>
    </row>
    <row r="9" customFormat="false" ht="30" hidden="false" customHeight="true" outlineLevel="0" collapsed="false">
      <c r="A9" s="7" t="n">
        <v>7</v>
      </c>
      <c r="B9" s="9" t="s">
        <v>390</v>
      </c>
      <c r="C9" s="18" t="n">
        <v>-553</v>
      </c>
      <c r="D9" s="37" t="s">
        <v>388</v>
      </c>
      <c r="E9" s="36" t="s">
        <v>391</v>
      </c>
    </row>
    <row r="10" customFormat="false" ht="30" hidden="false" customHeight="true" outlineLevel="0" collapsed="false">
      <c r="A10" s="7" t="n">
        <v>8</v>
      </c>
      <c r="B10" s="9" t="s">
        <v>392</v>
      </c>
      <c r="C10" s="18" t="n">
        <v>-268</v>
      </c>
      <c r="D10" s="37" t="s">
        <v>388</v>
      </c>
      <c r="E10" s="38" t="s">
        <v>393</v>
      </c>
    </row>
    <row r="11" customFormat="false" ht="30" hidden="false" customHeight="true" outlineLevel="0" collapsed="false">
      <c r="A11" s="7" t="n">
        <v>9</v>
      </c>
      <c r="B11" s="9" t="s">
        <v>394</v>
      </c>
      <c r="C11" s="18" t="n">
        <v>-113.4</v>
      </c>
      <c r="D11" s="37" t="s">
        <v>388</v>
      </c>
      <c r="E11" s="38" t="s">
        <v>395</v>
      </c>
    </row>
    <row r="12" customFormat="false" ht="30" hidden="false" customHeight="true" outlineLevel="0" collapsed="false">
      <c r="A12" s="7" t="n">
        <v>10</v>
      </c>
      <c r="B12" s="9" t="s">
        <v>396</v>
      </c>
      <c r="C12" s="18" t="n">
        <f aca="false">C8+C9+C10+C11</f>
        <v>1128</v>
      </c>
      <c r="D12" s="35" t="s">
        <v>381</v>
      </c>
      <c r="E12" s="36" t="s">
        <v>397</v>
      </c>
    </row>
    <row r="14" customFormat="false" ht="15" hidden="false" customHeight="false" outlineLevel="0" collapsed="false">
      <c r="A14" s="13"/>
      <c r="B14" s="14" t="s">
        <v>398</v>
      </c>
      <c r="C14" s="15" t="n">
        <f aca="false">SUMIF(D3:D12,"Sim",C3:C12)</f>
        <v>2343.49</v>
      </c>
      <c r="D14" s="13"/>
      <c r="E14" s="13"/>
    </row>
    <row r="16" customFormat="false" ht="15" hidden="false" customHeight="true" outlineLevel="0" collapsed="false">
      <c r="A16" s="25" t="s">
        <v>399</v>
      </c>
      <c r="B16" s="25"/>
      <c r="C16" s="25"/>
      <c r="D16" s="25"/>
      <c r="E16" s="25"/>
    </row>
    <row r="17" customFormat="false" ht="15" hidden="false" customHeight="false" outlineLevel="0" collapsed="false">
      <c r="A17" s="25"/>
      <c r="B17" s="25"/>
      <c r="C17" s="25"/>
      <c r="D17" s="25"/>
      <c r="E17" s="25"/>
    </row>
    <row r="18" customFormat="false" ht="15" hidden="false" customHeight="false" outlineLevel="0" collapsed="false">
      <c r="A18" s="25"/>
      <c r="B18" s="25"/>
      <c r="C18" s="25"/>
      <c r="D18" s="25"/>
      <c r="E18" s="25"/>
    </row>
  </sheetData>
  <mergeCells count="2">
    <mergeCell ref="A1:E1"/>
    <mergeCell ref="A16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5" t="s">
        <v>400</v>
      </c>
      <c r="B1" s="5"/>
      <c r="C1" s="5"/>
    </row>
    <row r="2" customFormat="false" ht="15" hidden="false" customHeight="false" outlineLevel="0" collapsed="false">
      <c r="A2" s="8" t="s">
        <v>401</v>
      </c>
    </row>
    <row r="3" customFormat="false" ht="15" hidden="false" customHeight="false" outlineLevel="0" collapsed="false">
      <c r="A3" s="39" t="s">
        <v>68</v>
      </c>
      <c r="B3" s="6" t="s">
        <v>402</v>
      </c>
    </row>
    <row r="4" customFormat="false" ht="15" hidden="false" customHeight="false" outlineLevel="0" collapsed="false">
      <c r="A4" s="8" t="s">
        <v>71</v>
      </c>
      <c r="B4" s="18" t="n">
        <f aca="false">SUMIF('Vendas Detalhadas'!E3:E276,"Pix",'Vendas Detalhadas'!D3:D276)</f>
        <v>1556</v>
      </c>
    </row>
    <row r="5" customFormat="false" ht="15" hidden="false" customHeight="false" outlineLevel="0" collapsed="false">
      <c r="A5" s="8" t="s">
        <v>72</v>
      </c>
      <c r="B5" s="18" t="n">
        <f aca="false">SUMIF('Vendas Detalhadas'!E3:E276,"Dinheiro",'Vendas Detalhadas'!D3:D276)</f>
        <v>738.5</v>
      </c>
    </row>
    <row r="6" customFormat="false" ht="15" hidden="false" customHeight="false" outlineLevel="0" collapsed="false">
      <c r="A6" s="8" t="s">
        <v>74</v>
      </c>
      <c r="B6" s="18" t="n">
        <f aca="false">SUMIF('Vendas Detalhadas'!E3:E276,"Débito",'Vendas Detalhadas'!D3:D276)</f>
        <v>568</v>
      </c>
    </row>
    <row r="7" customFormat="false" ht="15" hidden="false" customHeight="false" outlineLevel="0" collapsed="false">
      <c r="A7" s="8" t="s">
        <v>78</v>
      </c>
      <c r="B7" s="18" t="n">
        <f aca="false">SUMIF('Vendas Detalhadas'!E3:E276,"Crédito",'Vendas Detalhadas'!D3:D276)</f>
        <v>188</v>
      </c>
    </row>
    <row r="8" customFormat="false" ht="15" hidden="false" customHeight="false" outlineLevel="0" collapsed="false">
      <c r="A8" s="8" t="s">
        <v>98</v>
      </c>
      <c r="B8" s="18" t="n">
        <f aca="false">SUMIF('Vendas Detalhadas'!E3:E276,"Cartão",'Vendas Detalhadas'!D3:D276)</f>
        <v>29</v>
      </c>
    </row>
    <row r="9" customFormat="false" ht="15" hidden="false" customHeight="false" outlineLevel="0" collapsed="false">
      <c r="A9" s="8" t="s">
        <v>403</v>
      </c>
      <c r="B9" s="18" t="n">
        <f aca="false">SUMIF('Vendas Detalhadas'!E3:E276,"—",'Vendas Detalhadas'!D3:D276)</f>
        <v>618</v>
      </c>
    </row>
    <row r="10" customFormat="false" ht="15" hidden="false" customHeight="false" outlineLevel="0" collapsed="false">
      <c r="A10" s="29" t="s">
        <v>404</v>
      </c>
      <c r="B10" s="15" t="n">
        <f aca="false">SUM(B4:B9)</f>
        <v>3697.5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405</v>
      </c>
    </row>
    <row r="13" customFormat="false" ht="15" hidden="false" customHeight="false" outlineLevel="0" collapsed="false">
      <c r="A13" s="39" t="s">
        <v>406</v>
      </c>
      <c r="B13" s="6" t="s">
        <v>67</v>
      </c>
      <c r="C13" s="6" t="s">
        <v>69</v>
      </c>
    </row>
    <row r="14" customFormat="false" ht="25.5" hidden="false" customHeight="true" outlineLevel="0" collapsed="false">
      <c r="A14" s="8" t="s">
        <v>407</v>
      </c>
      <c r="B14" s="18" t="n">
        <f aca="false">'Vendas Detalhadas'!D277</f>
        <v>3697.5</v>
      </c>
      <c r="C14" s="27" t="s">
        <v>408</v>
      </c>
    </row>
    <row r="15" customFormat="false" ht="25.5" hidden="false" customHeight="true" outlineLevel="0" collapsed="false">
      <c r="A15" s="8" t="s">
        <v>409</v>
      </c>
      <c r="B15" s="18" t="n">
        <f aca="false">'Extrato Maquininha'!B69</f>
        <v>1141.2</v>
      </c>
      <c r="C15" s="27" t="s">
        <v>410</v>
      </c>
    </row>
    <row r="16" customFormat="false" ht="25.5" hidden="false" customHeight="true" outlineLevel="0" collapsed="false">
      <c r="A16" s="8" t="s">
        <v>411</v>
      </c>
      <c r="B16" s="18" t="n">
        <f aca="false">'Fechamento de Caixa'!B3</f>
        <v>2086</v>
      </c>
      <c r="C16" s="27"/>
    </row>
    <row r="17" customFormat="false" ht="25.5" hidden="false" customHeight="true" outlineLevel="0" collapsed="false">
      <c r="A17" s="8" t="s">
        <v>412</v>
      </c>
      <c r="B17" s="18" t="n">
        <f aca="false">'Fechamento de Caixa'!B4</f>
        <v>1409.35</v>
      </c>
      <c r="C17" s="27" t="s">
        <v>413</v>
      </c>
    </row>
    <row r="18" customFormat="false" ht="25.5" hidden="false" customHeight="true" outlineLevel="0" collapsed="false">
      <c r="A18" s="8" t="s">
        <v>414</v>
      </c>
      <c r="B18" s="18" t="n">
        <f aca="false">'Fechamento de Caixa'!B5</f>
        <v>2871.73</v>
      </c>
      <c r="C18" s="27"/>
    </row>
    <row r="19" customFormat="false" ht="25.5" hidden="false" customHeight="true" outlineLevel="0" collapsed="false">
      <c r="A19" s="32" t="s">
        <v>357</v>
      </c>
      <c r="B19" s="40" t="n">
        <f aca="false">'Fechamento de Caixa'!B6</f>
        <v>900</v>
      </c>
      <c r="C19" s="34" t="s">
        <v>415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8" t="s">
        <v>416</v>
      </c>
    </row>
    <row r="22" customFormat="false" ht="15" hidden="false" customHeight="false" outlineLevel="0" collapsed="false">
      <c r="A22" s="39" t="s">
        <v>350</v>
      </c>
      <c r="B22" s="6" t="s">
        <v>67</v>
      </c>
      <c r="C22" s="6" t="s">
        <v>69</v>
      </c>
    </row>
    <row r="23" customFormat="false" ht="25.5" hidden="false" customHeight="true" outlineLevel="0" collapsed="false">
      <c r="A23" s="8" t="s">
        <v>417</v>
      </c>
      <c r="B23" s="41" t="n">
        <f aca="false">'Fechamento de Caixa'!B7</f>
        <v>7267.08</v>
      </c>
      <c r="C23" s="27" t="s">
        <v>418</v>
      </c>
    </row>
    <row r="24" customFormat="false" ht="25.5" hidden="false" customHeight="true" outlineLevel="0" collapsed="false">
      <c r="A24" s="8" t="s">
        <v>419</v>
      </c>
      <c r="B24" s="18" t="n">
        <f aca="false">'Despesas da Festa'!C14</f>
        <v>2343.49</v>
      </c>
      <c r="C24" s="27" t="s">
        <v>420</v>
      </c>
    </row>
    <row r="25" customFormat="false" ht="25.5" hidden="false" customHeight="true" outlineLevel="0" collapsed="false">
      <c r="A25" s="32" t="s">
        <v>421</v>
      </c>
      <c r="B25" s="40" t="n">
        <f aca="false">'Fechamento de Caixa'!B20</f>
        <v>4923.59</v>
      </c>
      <c r="C25" s="34" t="s">
        <v>422</v>
      </c>
    </row>
    <row r="26" customFormat="false" ht="15" hidden="false" customHeight="false" outlineLevel="0" collapsed="false">
      <c r="A26" s="8"/>
    </row>
    <row r="27" customFormat="false" ht="15" hidden="false" customHeight="true" outlineLevel="0" collapsed="false">
      <c r="A27" s="42" t="s">
        <v>423</v>
      </c>
      <c r="B27" s="42"/>
      <c r="C27" s="42"/>
    </row>
    <row r="28" customFormat="false" ht="15" hidden="false" customHeight="false" outlineLevel="0" collapsed="false">
      <c r="A28" s="42"/>
      <c r="B28" s="42"/>
      <c r="C28" s="42"/>
    </row>
    <row r="29" customFormat="false" ht="15" hidden="false" customHeight="false" outlineLevel="0" collapsed="false">
      <c r="A29" s="42"/>
      <c r="B29" s="42"/>
      <c r="C29" s="42"/>
    </row>
  </sheetData>
  <mergeCells count="2">
    <mergeCell ref="A1:C1"/>
    <mergeCell ref="A27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5.5" hidden="false" customHeight="true" outlineLevel="0" collapsed="false">
      <c r="A1" s="1" t="s">
        <v>424</v>
      </c>
    </row>
    <row r="3" customFormat="false" ht="27.75" hidden="false" customHeight="true" outlineLevel="0" collapsed="false">
      <c r="A3" s="43" t="s">
        <v>425</v>
      </c>
    </row>
    <row r="5" customFormat="false" ht="13.5" hidden="false" customHeight="true" outlineLevel="0" collapsed="false">
      <c r="A5" s="9"/>
    </row>
    <row r="7" customFormat="false" ht="27.75" hidden="false" customHeight="true" outlineLevel="0" collapsed="false">
      <c r="A7" s="43" t="s">
        <v>426</v>
      </c>
    </row>
    <row r="9" customFormat="false" ht="27.75" hidden="false" customHeight="true" outlineLevel="0" collapsed="false">
      <c r="A9" s="43" t="s">
        <v>427</v>
      </c>
    </row>
    <row r="12" customFormat="false" ht="15" hidden="false" customHeight="false" outlineLevel="0" collapsed="false">
      <c r="A12" s="44" t="s">
        <v>428</v>
      </c>
    </row>
    <row r="13" customFormat="false" ht="15" hidden="false" customHeight="false" outlineLevel="0" collapsed="false">
      <c r="A13" s="45" t="s">
        <v>429</v>
      </c>
    </row>
    <row r="14" customFormat="false" ht="15" hidden="false" customHeight="false" outlineLevel="0" collapsed="false">
      <c r="A14" s="45" t="s">
        <v>430</v>
      </c>
    </row>
    <row r="15" customFormat="false" ht="15" hidden="false" customHeight="false" outlineLevel="0" collapsed="false">
      <c r="A15" s="45" t="s">
        <v>431</v>
      </c>
    </row>
    <row r="16" customFormat="false" ht="15" hidden="false" customHeight="false" outlineLevel="0" collapsed="false">
      <c r="A16" s="45" t="s">
        <v>432</v>
      </c>
    </row>
    <row r="17" customFormat="false" ht="90" hidden="false" customHeight="true" outlineLevel="0" collapsed="false">
      <c r="A17" s="46" t="s">
        <v>433</v>
      </c>
    </row>
    <row r="18" customFormat="false" ht="43.25" hidden="false" customHeight="false" outlineLevel="0" collapsed="false">
      <c r="A18" s="47" t="s">
        <v>434</v>
      </c>
    </row>
    <row r="21" customFormat="false" ht="15" hidden="false" customHeight="false" outlineLevel="0" collapsed="false">
      <c r="A21" s="44" t="s">
        <v>435</v>
      </c>
    </row>
    <row r="22" customFormat="false" ht="15" hidden="false" customHeight="false" outlineLevel="0" collapsed="false">
      <c r="A22" s="45" t="s">
        <v>436</v>
      </c>
    </row>
    <row r="23" customFormat="false" ht="15" hidden="false" customHeight="false" outlineLevel="0" collapsed="false">
      <c r="A23" s="45" t="s">
        <v>437</v>
      </c>
    </row>
    <row r="24" customFormat="false" ht="15" hidden="false" customHeight="false" outlineLevel="0" collapsed="false">
      <c r="A24" s="45" t="s">
        <v>438</v>
      </c>
    </row>
    <row r="25" customFormat="false" ht="15" hidden="false" customHeight="false" outlineLevel="0" collapsed="false">
      <c r="A25" s="45" t="s">
        <v>439</v>
      </c>
    </row>
    <row r="26" customFormat="false" ht="90" hidden="false" customHeight="true" outlineLevel="0" collapsed="false">
      <c r="A26" s="46" t="s">
        <v>433</v>
      </c>
    </row>
    <row r="27" customFormat="false" ht="15" hidden="false" customHeight="false" outlineLevel="0" collapsed="false">
      <c r="A27" s="47" t="s">
        <v>440</v>
      </c>
    </row>
    <row r="30" customFormat="false" ht="15" hidden="false" customHeight="false" outlineLevel="0" collapsed="false">
      <c r="A30" s="44" t="s">
        <v>441</v>
      </c>
    </row>
    <row r="31" customFormat="false" ht="15" hidden="false" customHeight="false" outlineLevel="0" collapsed="false">
      <c r="A31" s="45" t="s">
        <v>436</v>
      </c>
    </row>
    <row r="32" customFormat="false" ht="15" hidden="false" customHeight="false" outlineLevel="0" collapsed="false">
      <c r="A32" s="45" t="s">
        <v>437</v>
      </c>
    </row>
    <row r="33" customFormat="false" ht="15" hidden="false" customHeight="false" outlineLevel="0" collapsed="false">
      <c r="A33" s="45" t="s">
        <v>438</v>
      </c>
    </row>
    <row r="34" customFormat="false" ht="15" hidden="false" customHeight="false" outlineLevel="0" collapsed="false">
      <c r="A34" s="45" t="s">
        <v>439</v>
      </c>
    </row>
    <row r="35" customFormat="false" ht="90" hidden="false" customHeight="true" outlineLevel="0" collapsed="false">
      <c r="A35" s="46" t="s">
        <v>433</v>
      </c>
    </row>
    <row r="36" customFormat="false" ht="15" hidden="false" customHeight="false" outlineLevel="0" collapsed="false">
      <c r="A36" s="47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2026-08-02T15:42:35Z</dcterms:created>
  <dc:creator>openpyxl</dc:creator>
  <dc:description/>
  <dc:language>en-US</dc:language>
  <cp:lastModifiedBy/>
  <dcterms:modified xsi:type="dcterms:W3CDTF">2026-08-02T15:42:36Z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